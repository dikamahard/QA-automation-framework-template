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POS\Automation Mobile\"/>
    </mc:Choice>
  </mc:AlternateContent>
  <xr:revisionPtr revIDLastSave="0" documentId="13_ncr:1_{EA3C106C-2437-4136-9C3A-C6C39F0C167C}" xr6:coauthVersionLast="47" xr6:coauthVersionMax="47" xr10:uidLastSave="{00000000-0000-0000-0000-000000000000}"/>
  <bookViews>
    <workbookView xWindow="22932" yWindow="-3324" windowWidth="23256" windowHeight="12456" tabRatio="894" activeTab="1" xr2:uid="{00000000-000D-0000-FFFF-FFFF00000000}"/>
  </bookViews>
  <sheets>
    <sheet name="Cover" sheetId="7" r:id="rId1"/>
    <sheet name="Login" sheetId="126" r:id="rId2"/>
    <sheet name="Profile" sheetId="163" r:id="rId3"/>
    <sheet name="Product" sheetId="167" r:id="rId4"/>
    <sheet name="Product_Management" sheetId="179" r:id="rId5"/>
    <sheet name="Order" sheetId="164" r:id="rId6"/>
    <sheet name="voucher" sheetId="184" r:id="rId7"/>
    <sheet name="Promo_product" sheetId="168" r:id="rId8"/>
    <sheet name="Shift_log_list" sheetId="176" r:id="rId9"/>
    <sheet name="compliment" sheetId="182" r:id="rId10"/>
    <sheet name="daily_report" sheetId="181" r:id="rId11"/>
    <sheet name="Store_config" sheetId="185" r:id="rId12"/>
    <sheet name="Multiscreen" sheetId="187" r:id="rId13"/>
    <sheet name="scanner" sheetId="188" r:id="rId14"/>
    <sheet name="printer" sheetId="169" r:id="rId15"/>
    <sheet name="Sheet4" sheetId="170" r:id="rId16"/>
    <sheet name="Revision History" sheetId="4" r:id="rId17"/>
  </sheets>
  <externalReferences>
    <externalReference r:id="rId18"/>
    <externalReference r:id="rId19"/>
  </externalReferences>
  <definedNames>
    <definedName name="_xlnm._FilterDatabase" localSheetId="9" hidden="1">compliment!$B$6:$L$27</definedName>
    <definedName name="_xlnm._FilterDatabase" localSheetId="10" hidden="1">daily_report!$B$6:$L$43</definedName>
    <definedName name="_xlnm._FilterDatabase" localSheetId="1" hidden="1">Login!$B$6:$L$16</definedName>
    <definedName name="_xlnm._FilterDatabase" localSheetId="5" hidden="1">Order!$B$6:$L$114</definedName>
    <definedName name="_xlnm._FilterDatabase" localSheetId="3" hidden="1">Product!$B$6:$N$19</definedName>
    <definedName name="_xlnm._FilterDatabase" localSheetId="4" hidden="1">Product_Management!$B$6:$L$23</definedName>
    <definedName name="_xlnm._FilterDatabase" localSheetId="2" hidden="1">Profile!$B$6:$N$18</definedName>
    <definedName name="_xlnm._FilterDatabase" localSheetId="8" hidden="1">Shift_log_list!$B$6:$N$12</definedName>
    <definedName name="_xlnm._FilterDatabase" localSheetId="11" hidden="1">Store_config!$B$6:$L$17</definedName>
    <definedName name="_xlnm.Print_Area" localSheetId="0">Cover!$B$1:$O$11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68" l="1"/>
  <c r="O5" i="168"/>
  <c r="R4" i="168"/>
  <c r="O4" i="168"/>
  <c r="R3" i="168"/>
  <c r="O3" i="168"/>
  <c r="O6" i="184"/>
  <c r="O5" i="184"/>
  <c r="R4" i="184"/>
  <c r="O4" i="184"/>
  <c r="R3" i="184"/>
  <c r="O3" i="184"/>
  <c r="O6" i="179"/>
  <c r="O5" i="179"/>
  <c r="R4" i="179"/>
  <c r="O4" i="179"/>
  <c r="R3" i="179"/>
  <c r="O3" i="179"/>
  <c r="I3" i="179"/>
  <c r="I2" i="179"/>
  <c r="O6" i="167"/>
  <c r="O5" i="167"/>
  <c r="R4" i="167"/>
  <c r="O4" i="167"/>
  <c r="R3" i="167"/>
  <c r="O3" i="167"/>
  <c r="B2" i="168" l="1"/>
  <c r="O7" i="168"/>
  <c r="O2" i="168" s="1"/>
  <c r="O7" i="184"/>
  <c r="O2" i="184" s="1"/>
  <c r="B2" i="184"/>
  <c r="B2" i="167"/>
  <c r="O7" i="167"/>
  <c r="O2" i="167" s="1"/>
  <c r="O7" i="179"/>
  <c r="O2" i="179" s="1"/>
  <c r="B2" i="179" l="1"/>
  <c r="O6" i="188"/>
  <c r="O5" i="188"/>
  <c r="F24" i="7" s="1"/>
  <c r="R4" i="188"/>
  <c r="O4" i="188"/>
  <c r="E24" i="7" s="1"/>
  <c r="R3" i="188"/>
  <c r="O3" i="188"/>
  <c r="D24" i="7" s="1"/>
  <c r="I3" i="188"/>
  <c r="I2" i="188"/>
  <c r="O6" i="187"/>
  <c r="O5" i="187"/>
  <c r="F23" i="7" s="1"/>
  <c r="R4" i="187"/>
  <c r="O4" i="187"/>
  <c r="E23" i="7" s="1"/>
  <c r="R3" i="187"/>
  <c r="O3" i="187"/>
  <c r="D23" i="7" s="1"/>
  <c r="I3" i="187"/>
  <c r="I2" i="187"/>
  <c r="I3" i="182"/>
  <c r="I2" i="182"/>
  <c r="I3" i="164"/>
  <c r="I2" i="164"/>
  <c r="O6" i="185"/>
  <c r="O5" i="185"/>
  <c r="F22" i="7" s="1"/>
  <c r="R4" i="185"/>
  <c r="O4" i="185"/>
  <c r="E22" i="7" s="1"/>
  <c r="R3" i="185"/>
  <c r="O3" i="185"/>
  <c r="D22" i="7" s="1"/>
  <c r="I3" i="185"/>
  <c r="I2" i="185"/>
  <c r="F21" i="7"/>
  <c r="E21" i="7"/>
  <c r="O3" i="182"/>
  <c r="R3" i="182"/>
  <c r="O4" i="182"/>
  <c r="E19" i="7" s="1"/>
  <c r="R4" i="182"/>
  <c r="O5" i="182"/>
  <c r="O6" i="182"/>
  <c r="I2" i="181"/>
  <c r="I3" i="181"/>
  <c r="O3" i="181"/>
  <c r="D20" i="7" s="1"/>
  <c r="R3" i="181"/>
  <c r="O4" i="181"/>
  <c r="E20" i="7" s="1"/>
  <c r="R4" i="181"/>
  <c r="O5" i="181"/>
  <c r="F20" i="7" s="1"/>
  <c r="O6" i="181"/>
  <c r="O6" i="169"/>
  <c r="O5" i="169"/>
  <c r="F15" i="7" s="1"/>
  <c r="O4" i="169"/>
  <c r="E15" i="7" s="1"/>
  <c r="O3" i="169"/>
  <c r="D15" i="7" s="1"/>
  <c r="F18" i="7"/>
  <c r="E18" i="7"/>
  <c r="D18" i="7"/>
  <c r="R3" i="169"/>
  <c r="O6" i="176"/>
  <c r="O5" i="176"/>
  <c r="F17" i="7" s="1"/>
  <c r="R4" i="176"/>
  <c r="O4" i="176"/>
  <c r="E17" i="7" s="1"/>
  <c r="R3" i="176"/>
  <c r="O3" i="176"/>
  <c r="D17" i="7" s="1"/>
  <c r="R4" i="169"/>
  <c r="F16" i="7"/>
  <c r="E16" i="7"/>
  <c r="D16" i="7"/>
  <c r="F14" i="7"/>
  <c r="E14" i="7"/>
  <c r="D14" i="7"/>
  <c r="O6" i="163"/>
  <c r="O5" i="163"/>
  <c r="F12" i="7" s="1"/>
  <c r="R4" i="163"/>
  <c r="O4" i="163"/>
  <c r="E12" i="7" s="1"/>
  <c r="R3" i="163"/>
  <c r="O3" i="163"/>
  <c r="D12" i="7" s="1"/>
  <c r="O6" i="164"/>
  <c r="O5" i="164"/>
  <c r="R4" i="164"/>
  <c r="O4" i="164"/>
  <c r="E13" i="7" s="1"/>
  <c r="R3" i="164"/>
  <c r="O3" i="164"/>
  <c r="O6" i="126"/>
  <c r="O5" i="126"/>
  <c r="R4" i="126"/>
  <c r="O4" i="126"/>
  <c r="R3" i="126"/>
  <c r="O3" i="126"/>
  <c r="D11" i="7" s="1"/>
  <c r="I3" i="126"/>
  <c r="I2" i="126"/>
  <c r="O7" i="188" l="1"/>
  <c r="O7" i="187"/>
  <c r="D21" i="7"/>
  <c r="O7" i="185"/>
  <c r="F19" i="7"/>
  <c r="O7" i="182"/>
  <c r="G19" i="7" s="1"/>
  <c r="D19" i="7"/>
  <c r="O7" i="181"/>
  <c r="G20" i="7" s="1"/>
  <c r="H20" i="7" s="1"/>
  <c r="O7" i="163"/>
  <c r="O7" i="176"/>
  <c r="B2" i="176"/>
  <c r="G16" i="7"/>
  <c r="O7" i="169"/>
  <c r="B2" i="169"/>
  <c r="O7" i="164"/>
  <c r="O2" i="164" s="1"/>
  <c r="O7" i="126"/>
  <c r="O2" i="126" s="1"/>
  <c r="O2" i="187" l="1"/>
  <c r="G23" i="7"/>
  <c r="H23" i="7" s="1"/>
  <c r="B2" i="188"/>
  <c r="G24" i="7"/>
  <c r="O2" i="188"/>
  <c r="B2" i="187"/>
  <c r="H16" i="7"/>
  <c r="O2" i="181"/>
  <c r="B2" i="181"/>
  <c r="G21" i="7"/>
  <c r="G22" i="7"/>
  <c r="H22" i="7" s="1"/>
  <c r="O2" i="185"/>
  <c r="B2" i="185"/>
  <c r="B2" i="182"/>
  <c r="O2" i="182"/>
  <c r="H19" i="7"/>
  <c r="B2" i="126"/>
  <c r="O2" i="163"/>
  <c r="G12" i="7"/>
  <c r="H12" i="7" s="1"/>
  <c r="G18" i="7"/>
  <c r="H18" i="7" s="1"/>
  <c r="O2" i="176"/>
  <c r="G17" i="7"/>
  <c r="O2" i="169"/>
  <c r="G15" i="7"/>
  <c r="H15" i="7" s="1"/>
  <c r="G14" i="7"/>
  <c r="H14" i="7" s="1"/>
  <c r="B2" i="164"/>
  <c r="B2" i="163"/>
  <c r="H17" i="7" l="1"/>
  <c r="H24" i="7"/>
  <c r="H21" i="7"/>
  <c r="F11" i="7"/>
  <c r="E11" i="7"/>
  <c r="E26" i="7" s="1"/>
  <c r="F13" i="7"/>
  <c r="D13" i="7"/>
  <c r="D26" i="7" s="1"/>
  <c r="M5" i="7"/>
  <c r="F26" i="7" l="1"/>
  <c r="G13" i="7"/>
  <c r="G11" i="7" l="1"/>
  <c r="G26" i="7" s="1"/>
  <c r="E28" i="7" s="1"/>
  <c r="H13" i="7"/>
  <c r="D30" i="7" l="1"/>
  <c r="H11" i="7"/>
  <c r="M6" i="7" l="1"/>
  <c r="D29" i="7"/>
  <c r="D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Ari</author>
  </authors>
  <commentList>
    <comment ref="J6" authorId="0" shapeId="0" xr:uid="{F4557057-9C12-4015-8F1A-010D0F1F1F56}">
      <text/>
    </comment>
    <comment ref="K6" authorId="1" shapeId="0" xr:uid="{B7FBAAC7-799F-4F39-A7D7-F5DCE4ED3EAC}">
      <text>
        <r>
          <rPr>
            <sz val="9"/>
            <color indexed="81"/>
            <rFont val="Tahoma"/>
            <family val="2"/>
          </rPr>
          <t xml:space="preserve"> . = Not yet tested
0 = Failed
1 = Pass
Block = Kkondisi dimana fitur/menu tidak bisa ditest karena ada error pada
 menu induk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6" authorId="0" shapeId="0" xr:uid="{D1E0057E-4AF7-4968-A3DE-BD76CF696C1B}">
      <text>
        <r>
          <rPr>
            <b/>
            <sz val="9"/>
            <color indexed="81"/>
            <rFont val="Tahoma"/>
            <family val="2"/>
          </rPr>
          <t>Approval Code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6" authorId="0" shapeId="0" xr:uid="{285F3A0C-06EE-4AF3-ACC2-FA3207EE639D}">
      <text>
        <r>
          <rPr>
            <b/>
            <sz val="9"/>
            <color indexed="81"/>
            <rFont val="Tahoma"/>
            <family val="2"/>
          </rPr>
          <t>Approval Code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Ari</author>
    <author>Putrisya Novatiara Sonia</author>
  </authors>
  <commentList>
    <comment ref="J6" authorId="0" shapeId="0" xr:uid="{C4973692-F0D9-4B8E-A745-ACC9F79AF32D}">
      <text/>
    </comment>
    <comment ref="K6" authorId="1" shapeId="0" xr:uid="{CE5247A2-BB99-4162-98C2-F1AB639B990D}">
      <text>
        <r>
          <rPr>
            <sz val="9"/>
            <color indexed="81"/>
            <rFont val="Tahoma"/>
            <family val="2"/>
          </rPr>
          <t xml:space="preserve"> . = Not yet tested
0 = Failed
1 = Pass
Block = Kkondisi dimana fitur/menu tidak bisa ditest karena ada error pada
 menu induk
</t>
        </r>
      </text>
    </comment>
    <comment ref="F8" authorId="2" shapeId="0" xr:uid="{1A3CB742-3390-46A4-BF4B-1BB693F0915A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Ari</author>
    <author>Putrisya Novatiara Sonia</author>
  </authors>
  <commentList>
    <comment ref="J6" authorId="0" shapeId="0" xr:uid="{33A95553-7170-43F5-BEDE-0D566C016232}">
      <text/>
    </comment>
    <comment ref="K6" authorId="1" shapeId="0" xr:uid="{B992C35A-7AFA-43DC-8507-56FFF51DFC30}">
      <text>
        <r>
          <rPr>
            <sz val="9"/>
            <color indexed="81"/>
            <rFont val="Tahoma"/>
            <family val="2"/>
          </rPr>
          <t xml:space="preserve"> . = Not yet tested
0 = Failed
1 = Pass
Block = Kkondisi dimana fitur/menu tidak bisa ditest karena ada error pada
 menu induk
</t>
        </r>
      </text>
    </comment>
    <comment ref="F8" authorId="2" shapeId="0" xr:uid="{A4A10D89-EAAF-49E0-B7F4-6BFB5715F388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12" authorId="2" shapeId="0" xr:uid="{B96B4B42-988B-492C-AEA0-BB505B949AB1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18" authorId="2" shapeId="0" xr:uid="{6AA7D771-B74E-4DB7-9A0A-038AA36EDA6B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22" authorId="2" shapeId="0" xr:uid="{409EE8C4-681D-42B5-A268-69608EC7632D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28" authorId="2" shapeId="0" xr:uid="{938F7AD7-C6B3-4A28-9DA2-2BAE08739500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32" authorId="2" shapeId="0" xr:uid="{9F3CD478-944D-449D-9518-97883E969CD7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38" authorId="2" shapeId="0" xr:uid="{61D476F3-71EF-4B14-A923-2F6A22EAC727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42" authorId="2" shapeId="0" xr:uid="{3710DC09-E1DA-418F-9C4A-6170B80413E1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6" authorId="0" shapeId="0" xr:uid="{16C63E90-84ED-49F9-8145-7B2E0360D800}">
      <text>
        <r>
          <rPr>
            <b/>
            <sz val="9"/>
            <color indexed="81"/>
            <rFont val="Tahoma"/>
            <family val="2"/>
          </rPr>
          <t>Approval Code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6" authorId="0" shapeId="0" xr:uid="{B6AB89DC-A539-4F25-9FE1-8100BCCC0CA8}">
      <text>
        <r>
          <rPr>
            <b/>
            <sz val="9"/>
            <color indexed="81"/>
            <rFont val="Tahoma"/>
            <family val="2"/>
          </rPr>
          <t>Approval Code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6" authorId="0" shapeId="0" xr:uid="{2E81AC75-466F-49FF-9793-FCA312713EA5}">
      <text>
        <r>
          <rPr>
            <b/>
            <sz val="9"/>
            <color indexed="81"/>
            <rFont val="Tahoma"/>
            <family val="2"/>
          </rPr>
          <t>Approval Code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Ari</author>
    <author>Putrisya Novatiara Sonia</author>
  </authors>
  <commentList>
    <comment ref="J6" authorId="0" shapeId="0" xr:uid="{F2C52ACD-4A54-4700-86A7-E30033F06D5C}">
      <text/>
    </comment>
    <comment ref="K6" authorId="1" shapeId="0" xr:uid="{CD1ABE6B-B988-4F48-8651-2D527C51931D}">
      <text>
        <r>
          <rPr>
            <sz val="9"/>
            <color indexed="81"/>
            <rFont val="Tahoma"/>
            <family val="2"/>
          </rPr>
          <t xml:space="preserve"> . = Not yet tested
0 = Failed
1 = Pass
Block = Kkondisi dimana fitur/menu tidak bisa ditest karena ada error pada
 menu induk
</t>
        </r>
      </text>
    </comment>
    <comment ref="F8" authorId="2" shapeId="0" xr:uid="{75DEAA63-9983-4439-9778-761755D16678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18" authorId="2" shapeId="0" xr:uid="{0591D140-925A-4FB2-BDE3-BCC2C4C31C46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21" authorId="2" shapeId="0" xr:uid="{E648213F-A6B5-4317-823F-DA387FD86C27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28" authorId="2" shapeId="0" xr:uid="{D091D258-E4EF-480D-A6E9-D6776516BCAA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31" authorId="2" shapeId="0" xr:uid="{D480D726-F738-44C2-B455-F3C36D0E8B7B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38" authorId="2" shapeId="0" xr:uid="{0359CEE2-345A-4E38-8A49-FF47BCC9C67E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41" authorId="2" shapeId="0" xr:uid="{426AA807-E8C0-4D3C-AE95-16D74B969C6C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Ari</author>
    <author>Putrisya Novatiara Sonia</author>
  </authors>
  <commentList>
    <comment ref="J6" authorId="0" shapeId="0" xr:uid="{7559CB06-66AE-469A-9518-E06922AD2795}">
      <text/>
    </comment>
    <comment ref="K6" authorId="1" shapeId="0" xr:uid="{53CBADE6-DB53-4B2D-B0EA-8989DE082F94}">
      <text>
        <r>
          <rPr>
            <sz val="9"/>
            <color indexed="81"/>
            <rFont val="Tahoma"/>
            <family val="2"/>
          </rPr>
          <t xml:space="preserve"> . = Not yet tested
0 = Failed
1 = Pass
Block = Kkondisi dimana fitur/menu tidak bisa ditest karena ada error pada
 menu induk
</t>
        </r>
      </text>
    </comment>
    <comment ref="F8" authorId="2" shapeId="0" xr:uid="{02FB0D9B-73EA-4D57-BE26-9BB8C6A48DF4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10" authorId="2" shapeId="0" xr:uid="{7252F011-E12D-4343-9F90-507B5F40C5F2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12" authorId="2" shapeId="0" xr:uid="{9CA35412-F208-4CA3-8D5F-7A201BB93E6F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14" authorId="2" shapeId="0" xr:uid="{52A9C0F6-17D9-4050-A18F-D44580D4039B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16" authorId="2" shapeId="0" xr:uid="{9E9E8A47-1AD7-4F0E-8FF0-7A48B5FF9FE2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18" authorId="2" shapeId="0" xr:uid="{362AC744-7AAF-4BF2-8333-51E91D43FFE2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20" authorId="2" shapeId="0" xr:uid="{6A6232E7-7349-4DB5-924E-030E6071C362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22" authorId="2" shapeId="0" xr:uid="{3DC3311B-6C65-4460-BF79-EED7636D91F5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24" authorId="2" shapeId="0" xr:uid="{40118387-C6C4-4052-AF0F-99135DC8A42A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27" authorId="2" shapeId="0" xr:uid="{4696131B-E9D0-417A-B04F-FB94BC458BA3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34" authorId="2" shapeId="0" xr:uid="{A2A9EA58-4CAC-454E-93F3-30F6578BA082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37" authorId="2" shapeId="0" xr:uid="{95B8F75D-A78B-48FB-BCFD-C1E869C4869E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44" authorId="2" shapeId="0" xr:uid="{C75B6A16-2514-4B77-A3DA-9386CF4E9070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47" authorId="2" shapeId="0" xr:uid="{C5BE4373-35DC-4321-9251-D391F4B9CB03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  <comment ref="F54" authorId="2" shapeId="0" xr:uid="{25D120FD-C9B6-4DAF-A8C3-C4CD4C21C87F}">
      <text>
        <r>
          <rPr>
            <sz val="11"/>
            <color theme="1"/>
            <rFont val="Calibri"/>
            <family val="2"/>
            <scheme val="minor"/>
          </rPr>
          <t>Putrisya Novatiara Sonia:
sam : wings bucket 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Ari</author>
  </authors>
  <commentList>
    <comment ref="J6" authorId="0" shapeId="0" xr:uid="{8B869952-DE43-48BF-97BD-04451264B91C}">
      <text/>
    </comment>
    <comment ref="K6" authorId="1" shapeId="0" xr:uid="{F633AB4C-9A30-4559-8C46-FCAE3460DCDC}">
      <text>
        <r>
          <rPr>
            <sz val="9"/>
            <color indexed="81"/>
            <rFont val="Tahoma"/>
            <family val="2"/>
          </rPr>
          <t xml:space="preserve"> . = Not yet tested
0 = Failed
1 = Pass
Block = Kkondisi dimana fitur/menu tidak bisa ditest karena ada error pada
 menu induk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Ari</author>
  </authors>
  <commentList>
    <comment ref="J6" authorId="0" shapeId="0" xr:uid="{99F9ED63-8631-446A-97C3-B4E6D9C56E45}">
      <text/>
    </comment>
    <comment ref="K6" authorId="1" shapeId="0" xr:uid="{077515B4-F904-4CD5-9F78-EA2F18C81FE9}">
      <text>
        <r>
          <rPr>
            <sz val="9"/>
            <color indexed="81"/>
            <rFont val="Tahoma"/>
            <family val="2"/>
          </rPr>
          <t xml:space="preserve"> . = Not yet tested
0 = Failed
1 = Pass
Block = Kkondisi dimana fitur/menu tidak bisa ditest karena ada error pada
 menu induk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Ari</author>
  </authors>
  <commentList>
    <comment ref="J6" authorId="0" shapeId="0" xr:uid="{080F9C5E-CA78-4193-92E2-7525A91C3239}">
      <text/>
    </comment>
    <comment ref="K6" authorId="1" shapeId="0" xr:uid="{6FFFFE73-ED5A-43C6-B7F2-A1F7096AA03B}">
      <text>
        <r>
          <rPr>
            <sz val="9"/>
            <color indexed="81"/>
            <rFont val="Tahoma"/>
            <family val="2"/>
          </rPr>
          <t xml:space="preserve"> . = Not yet tested
0 = Failed
1 = Pass
Block = Kkondisi dimana fitur/menu tidak bisa ditest karena ada error pada
 menu induk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6" authorId="0" shapeId="0" xr:uid="{8868EE2C-6B8B-4E7D-89AE-BE091DB801C3}">
      <text>
        <r>
          <rPr>
            <b/>
            <sz val="9"/>
            <color indexed="81"/>
            <rFont val="Tahoma"/>
            <family val="2"/>
          </rPr>
          <t>Approval Code</t>
        </r>
      </text>
    </comment>
  </commentList>
</comments>
</file>

<file path=xl/sharedStrings.xml><?xml version="1.0" encoding="utf-8"?>
<sst xmlns="http://schemas.openxmlformats.org/spreadsheetml/2006/main" count="3140" uniqueCount="634">
  <si>
    <t>PT. PRIMAVISTA SOLUSI</t>
  </si>
  <si>
    <t xml:space="preserve">Project Name </t>
  </si>
  <si>
    <t>Prepared by :</t>
  </si>
  <si>
    <t>Putrisya Novatiara Sonia</t>
  </si>
  <si>
    <t>Last Checkpoint</t>
  </si>
  <si>
    <t>App Name : POS Application</t>
  </si>
  <si>
    <t>App Ver :</t>
  </si>
  <si>
    <t>1.1.0</t>
  </si>
  <si>
    <t>Prepared date :</t>
  </si>
  <si>
    <t>Last Progress</t>
  </si>
  <si>
    <t>Internal Testing/ SIT/ UAT</t>
  </si>
  <si>
    <t>Doc Ver :</t>
  </si>
  <si>
    <t>Today Checkpoint</t>
  </si>
  <si>
    <t>Today Progress</t>
  </si>
  <si>
    <t>Feature</t>
  </si>
  <si>
    <t>TC Pass</t>
  </si>
  <si>
    <t>TC Fail</t>
  </si>
  <si>
    <t>TC Blocked</t>
  </si>
  <si>
    <t>Total TC</t>
  </si>
  <si>
    <t>Progress</t>
  </si>
  <si>
    <t xml:space="preserve"> </t>
  </si>
  <si>
    <t>TC01 Login</t>
  </si>
  <si>
    <t>TC02 Profile</t>
  </si>
  <si>
    <t>TC03 Order Transaction</t>
  </si>
  <si>
    <t>TC05 Product</t>
  </si>
  <si>
    <t>TC06 Printer</t>
  </si>
  <si>
    <t>TC07 Promo</t>
  </si>
  <si>
    <t>TC011 Shift Log List</t>
  </si>
  <si>
    <t>TC012 Product Management</t>
  </si>
  <si>
    <t>Compliment</t>
  </si>
  <si>
    <t>Daily report</t>
  </si>
  <si>
    <t>Voucher</t>
  </si>
  <si>
    <t>Store Config</t>
  </si>
  <si>
    <t>Multiscreen</t>
  </si>
  <si>
    <t>Scanner</t>
  </si>
  <si>
    <t>Total</t>
  </si>
  <si>
    <t>Success Percentage</t>
  </si>
  <si>
    <t>Testing Progress</t>
  </si>
  <si>
    <t>Failed Percentage</t>
  </si>
  <si>
    <t>Blocked Percentage</t>
  </si>
  <si>
    <t>Project</t>
  </si>
  <si>
    <t>Summary</t>
  </si>
  <si>
    <t>Detail:</t>
  </si>
  <si>
    <t>Test Scenario</t>
  </si>
  <si>
    <t>Pass</t>
  </si>
  <si>
    <t>Total Positif Case</t>
  </si>
  <si>
    <t>Percentage</t>
  </si>
  <si>
    <t>Date</t>
  </si>
  <si>
    <t>dd/mm/yyyy</t>
  </si>
  <si>
    <t>Failed</t>
  </si>
  <si>
    <t>Total Negative Case</t>
  </si>
  <si>
    <t>Blocked</t>
  </si>
  <si>
    <t>TC ID</t>
  </si>
  <si>
    <t>Type</t>
  </si>
  <si>
    <t>Precondition</t>
  </si>
  <si>
    <t>Test Data</t>
  </si>
  <si>
    <t>Test Procedure</t>
  </si>
  <si>
    <t>Expected Result</t>
  </si>
  <si>
    <t>Actual Result</t>
  </si>
  <si>
    <t>Test Result</t>
  </si>
  <si>
    <t>Notes</t>
  </si>
  <si>
    <t>Not Yet Tested</t>
  </si>
  <si>
    <t>ot</t>
  </si>
  <si>
    <t>Total Case</t>
  </si>
  <si>
    <t>TC01_001</t>
  </si>
  <si>
    <t>LOGIN</t>
  </si>
  <si>
    <t>Positive</t>
  </si>
  <si>
    <t>Berada pada halaman login</t>
  </si>
  <si>
    <t xml:space="preserve">device </t>
  </si>
  <si>
    <t>1</t>
  </si>
  <si>
    <t>Input device token</t>
  </si>
  <si>
    <t>1. Berhasil login</t>
  </si>
  <si>
    <t>2</t>
  </si>
  <si>
    <t>Input PIN</t>
  </si>
  <si>
    <t>2. Masuk ke halaman home</t>
  </si>
  <si>
    <t>4</t>
  </si>
  <si>
    <t>Klik tombol Login</t>
  </si>
  <si>
    <t>TC01_003</t>
  </si>
  <si>
    <t>Forgot Password</t>
  </si>
  <si>
    <t>Tekan Forgot Password</t>
  </si>
  <si>
    <t>Menampilkan input email</t>
  </si>
  <si>
    <t>fitur tidak ada, forgot passord dari backoffice</t>
  </si>
  <si>
    <t>Input e-mail</t>
  </si>
  <si>
    <t>Sesuai input</t>
  </si>
  <si>
    <t>3</t>
  </si>
  <si>
    <t>Input password baru</t>
  </si>
  <si>
    <t>Login menggunakan password  baru</t>
  </si>
  <si>
    <t>Login berhasil</t>
  </si>
  <si>
    <t>Negative case</t>
  </si>
  <si>
    <t>TC01_004</t>
  </si>
  <si>
    <t>LOGIN 
dengan invalid device token</t>
  </si>
  <si>
    <t>Negative</t>
  </si>
  <si>
    <t>Input false device token</t>
  </si>
  <si>
    <t>shows error " device not found"</t>
  </si>
  <si>
    <t>TC01_005</t>
  </si>
  <si>
    <t>LOGIN 
dengan token yang sudah digunakan device lain</t>
  </si>
  <si>
    <t>input device token active unutk device lain</t>
  </si>
  <si>
    <t>as inputted</t>
  </si>
  <si>
    <t>klik next</t>
  </si>
  <si>
    <t>showsh error "</t>
  </si>
  <si>
    <t>LOGIN 
dengan invalid pin lebih dari 3 kali</t>
  </si>
  <si>
    <t>Input username</t>
  </si>
  <si>
    <t>1. Gagal login</t>
  </si>
  <si>
    <t>Input password</t>
  </si>
  <si>
    <t>2. Muncul warning : Please input username and password</t>
  </si>
  <si>
    <t>TC01_006</t>
  </si>
  <si>
    <t>LOGIN 
user with old pin</t>
  </si>
  <si>
    <t>Change password</t>
  </si>
  <si>
    <t>Password berhasil diubah</t>
  </si>
  <si>
    <t>Logout from application</t>
  </si>
  <si>
    <t>Logout berhasil</t>
  </si>
  <si>
    <t>Login with old password</t>
  </si>
  <si>
    <t>Login gagal</t>
  </si>
  <si>
    <t>TC01_007</t>
  </si>
  <si>
    <t>LOGIN 
Login with deleted user</t>
  </si>
  <si>
    <t>Delete user</t>
  </si>
  <si>
    <t>Data berhasil dihapus</t>
  </si>
  <si>
    <t>Login with deleted user</t>
  </si>
  <si>
    <t>TC01_008</t>
  </si>
  <si>
    <t>LOGIN 
Login with inactive device token</t>
  </si>
  <si>
    <t>change status user (inactive)</t>
  </si>
  <si>
    <t>Data berhasil diupdate</t>
  </si>
  <si>
    <t>LOGIN 
Login with inactive user</t>
  </si>
  <si>
    <t>LOGIN 
login with new device token</t>
  </si>
  <si>
    <t>unregister device - register</t>
  </si>
  <si>
    <t>Berada pada input pin</t>
  </si>
  <si>
    <t>klik unregister device</t>
  </si>
  <si>
    <t>input new device token</t>
  </si>
  <si>
    <t>success direct ke halaman login</t>
  </si>
  <si>
    <t>input pin</t>
  </si>
  <si>
    <t>direct ke homepage</t>
  </si>
  <si>
    <t>update apps</t>
  </si>
  <si>
    <t>install applikasi v2.0.0</t>
  </si>
  <si>
    <t xml:space="preserve">gagal update </t>
  </si>
  <si>
    <t>update aplikasi to v2.2.0</t>
  </si>
  <si>
    <t>Pass [1]</t>
  </si>
  <si>
    <t>Fail [0]</t>
  </si>
  <si>
    <t>Not yet tested [blank]</t>
  </si>
  <si>
    <t>Comment</t>
  </si>
  <si>
    <t>Positive Case</t>
  </si>
  <si>
    <t>TC02_002</t>
  </si>
  <si>
    <t>detail  First Name</t>
  </si>
  <si>
    <t>Klik Profile</t>
  </si>
  <si>
    <t>Menampilkan informasi user</t>
  </si>
  <si>
    <t>first name sesuai dengan setup back office</t>
  </si>
  <si>
    <t>data sesuai</t>
  </si>
  <si>
    <t>Menampilkan sesuai input</t>
  </si>
  <si>
    <t>TC02_003</t>
  </si>
  <si>
    <t>detail store name</t>
  </si>
  <si>
    <t>data sesuai dengan setup back office</t>
  </si>
  <si>
    <t>detail address</t>
  </si>
  <si>
    <t>detail rounding type</t>
  </si>
  <si>
    <t>TC02_004</t>
  </si>
  <si>
    <t>detail Phone Number</t>
  </si>
  <si>
    <t>TC02_006</t>
  </si>
  <si>
    <t>Verify Email via Account Profile</t>
  </si>
  <si>
    <t>Klik tombol Verifikasi Email</t>
  </si>
  <si>
    <t>Email verifikasi akan dikirimkan</t>
  </si>
  <si>
    <t>detail promo</t>
  </si>
  <si>
    <t>product card config</t>
  </si>
  <si>
    <t xml:space="preserve">image </t>
  </si>
  <si>
    <t>change card config</t>
  </si>
  <si>
    <t xml:space="preserve">product list config akan terapply di halaman product tanpa ada order yang active. </t>
  </si>
  <si>
    <t>card</t>
  </si>
  <si>
    <t>refresh in the homepage menu ( product menu)</t>
  </si>
  <si>
    <t>product lsit will change</t>
  </si>
  <si>
    <t>list</t>
  </si>
  <si>
    <t>product list  config</t>
  </si>
  <si>
    <t>pagination</t>
  </si>
  <si>
    <r>
      <t xml:space="preserve">pagination - load product per 10 prdoduct
sync - load product sekaligus
</t>
    </r>
    <r>
      <rPr>
        <sz val="11"/>
        <color rgb="FFFF0000"/>
        <rFont val="Calibri"/>
        <family val="2"/>
        <scheme val="minor"/>
      </rPr>
      <t>limitasi - ketika product lebih dari 1000 dan memilih sync, aplikasi akan endless loading
sehingga untuk saat ini default akan diarahkan untuk menggunakan pagination</t>
    </r>
  </si>
  <si>
    <t>sync</t>
  </si>
  <si>
    <t>sistem menampilkan product berubsh</t>
  </si>
  <si>
    <t>Negative Case</t>
  </si>
  <si>
    <t>Case Sale On Us</t>
  </si>
  <si>
    <t>TC05_001</t>
  </si>
  <si>
    <t>add product</t>
  </si>
  <si>
    <t>Tambah product di back office</t>
  </si>
  <si>
    <t>berhasil</t>
  </si>
  <si>
    <t>langsung refresh di menu product</t>
  </si>
  <si>
    <t>menampilkan product list</t>
  </si>
  <si>
    <t>product bertambah</t>
  </si>
  <si>
    <t>product berhasil bertambah</t>
  </si>
  <si>
    <t>TC05_002</t>
  </si>
  <si>
    <t>Edit product</t>
  </si>
  <si>
    <t>edit product di back office</t>
  </si>
  <si>
    <t>product berhasil teredit</t>
  </si>
  <si>
    <t>Data berhasil diubah</t>
  </si>
  <si>
    <t>TC05_003</t>
  </si>
  <si>
    <t>delete product</t>
  </si>
  <si>
    <t>delete product di back office</t>
  </si>
  <si>
    <t>product berhasil terdelete - produk tidak muncul</t>
  </si>
  <si>
    <t>produk tidak muncul</t>
  </si>
  <si>
    <t>TC05_004</t>
  </si>
  <si>
    <t>add variant</t>
  </si>
  <si>
    <t>Tambah variant di back office</t>
  </si>
  <si>
    <t>variant  bertambah</t>
  </si>
  <si>
    <t>variant berhasil bertambah dan muncul</t>
  </si>
  <si>
    <t>edit variant</t>
  </si>
  <si>
    <t>edit variant di back office</t>
  </si>
  <si>
    <t>variant  berhasil terubah</t>
  </si>
  <si>
    <t>perubahan sesuai config</t>
  </si>
  <si>
    <t>TC05_006</t>
  </si>
  <si>
    <t>delete variant</t>
  </si>
  <si>
    <t>delete variant di back office</t>
  </si>
  <si>
    <t>variant berhasil terdelete</t>
  </si>
  <si>
    <t>add product option
mandatory</t>
  </si>
  <si>
    <t>Tambah product option di back office</t>
  </si>
  <si>
    <t>product option  bertambah</t>
  </si>
  <si>
    <t>product option berhasil bertambah dan muncul</t>
  </si>
  <si>
    <t>Edit product option
manotory</t>
  </si>
  <si>
    <t>edit product option di back office</t>
  </si>
  <si>
    <t>product option  berhasil terubah</t>
  </si>
  <si>
    <t>delete product option
mandatory</t>
  </si>
  <si>
    <t>delete product option di back office</t>
  </si>
  <si>
    <t>product option berhasil terdelete</t>
  </si>
  <si>
    <t>add stock</t>
  </si>
  <si>
    <t>Tambah stock di back office</t>
  </si>
  <si>
    <t>stock  bertambah</t>
  </si>
  <si>
    <t>stock berhasil bertambah dan muncul</t>
  </si>
  <si>
    <t>edit stock</t>
  </si>
  <si>
    <t>edit stock di back office</t>
  </si>
  <si>
    <t>stock  berhasil terubah</t>
  </si>
  <si>
    <t>delete stock</t>
  </si>
  <si>
    <t>delete stock di back office</t>
  </si>
  <si>
    <t>add warning stock</t>
  </si>
  <si>
    <t>stock sudah sama dengan warning stock</t>
  </si>
  <si>
    <t>stok sesuai</t>
  </si>
  <si>
    <t>akan dikirim email pemberitahuan ke email PC, action ada di back office</t>
  </si>
  <si>
    <t>dikirimkan email pemberitahuan stock ke email PC</t>
  </si>
  <si>
    <t>email terkirim</t>
  </si>
  <si>
    <t>edit warning stock</t>
  </si>
  <si>
    <t>delete warning stock</t>
  </si>
  <si>
    <t>UI product list</t>
  </si>
  <si>
    <t>TC03_027</t>
  </si>
  <si>
    <t>SEARCH PRODUCT
Not Existed Product</t>
  </si>
  <si>
    <t>input no exiisted produtct in the search field</t>
  </si>
  <si>
    <t>shows warning error</t>
  </si>
  <si>
    <t>TC03_028</t>
  </si>
  <si>
    <t xml:space="preserve">Product of Out Stock
</t>
  </si>
  <si>
    <t>set product stock = 0</t>
  </si>
  <si>
    <t>success</t>
  </si>
  <si>
    <t>go to homepage</t>
  </si>
  <si>
    <t>showsh product list
product stock = 0 memiliki label "out of stock"</t>
  </si>
  <si>
    <t>check product list based o</t>
  </si>
  <si>
    <t>all</t>
  </si>
  <si>
    <t>ke halaman order/ product list</t>
  </si>
  <si>
    <t>shows product</t>
  </si>
  <si>
    <t>subcategory</t>
  </si>
  <si>
    <t xml:space="preserve">klik tab filter </t>
  </si>
  <si>
    <t>filter product based on tab sub category</t>
  </si>
  <si>
    <t>search button</t>
  </si>
  <si>
    <t>input product on search field</t>
  </si>
  <si>
    <t>shows product by keyword</t>
  </si>
  <si>
    <t>product are correct</t>
  </si>
  <si>
    <t>delete product in use</t>
  </si>
  <si>
    <t>add product to cart</t>
  </si>
  <si>
    <t>add success</t>
  </si>
  <si>
    <t>Handle di back office, tidak akan bisa dihapus apabila ada product yang sedang di rposes pemesan</t>
  </si>
  <si>
    <t>delete product in the back office</t>
  </si>
  <si>
    <t>shows warning  in the back office " product in use"</t>
  </si>
  <si>
    <t>delete product option in use</t>
  </si>
  <si>
    <t>add product option to cart</t>
  </si>
  <si>
    <t>delete product option in the back office</t>
  </si>
  <si>
    <t>TC03_001</t>
  </si>
  <si>
    <t>UPDATE STOCK WITH VALID NUMBER
[STOCK&gt;0]</t>
  </si>
  <si>
    <t>klik product management</t>
  </si>
  <si>
    <t>Menampilkan sesuai category</t>
  </si>
  <si>
    <t>ubah stock</t>
  </si>
  <si>
    <t>menmapilkan product</t>
  </si>
  <si>
    <t>cek penggunaan produtc list</t>
  </si>
  <si>
    <t>muncul pop up detail product</t>
  </si>
  <si>
    <t>TC03_005</t>
  </si>
  <si>
    <t>UPDATE STOCK WITH INVALID VALUE
[STOCK &lt;= 0]</t>
  </si>
  <si>
    <t>Muncul pilihan untuk paymet method</t>
  </si>
  <si>
    <t xml:space="preserve">ubah stock </t>
  </si>
  <si>
    <t>Menampilkan list produk</t>
  </si>
  <si>
    <t>input 0</t>
  </si>
  <si>
    <t>muncul error msg</t>
  </si>
  <si>
    <t>UPDATE STOCK WITH INVALID VALUE
[ALPHABET]</t>
  </si>
  <si>
    <t>input alfabet</t>
  </si>
  <si>
    <t>UPDATE STOCK WITH EMPTY DATA</t>
  </si>
  <si>
    <t>input kosong</t>
  </si>
  <si>
    <t xml:space="preserve">edit stock lebih sedikit </t>
  </si>
  <si>
    <t>empty stock</t>
  </si>
  <si>
    <t>klik empty stock</t>
  </si>
  <si>
    <t>cek di product list</t>
  </si>
  <si>
    <t>Order product 
(Takeaway - cash)</t>
  </si>
  <si>
    <t>Order 1 product (food)</t>
  </si>
  <si>
    <t>klik Category</t>
  </si>
  <si>
    <t>Order 2 product (food n drink)</t>
  </si>
  <si>
    <t>klik Subcategory</t>
  </si>
  <si>
    <t>Order kombinasi</t>
  </si>
  <si>
    <t>klik product</t>
  </si>
  <si>
    <t>Add count product</t>
  </si>
  <si>
    <t>jumlah product bertambahberkurang</t>
  </si>
  <si>
    <t>5</t>
  </si>
  <si>
    <t>Add add ons</t>
  </si>
  <si>
    <t>Muncul button biru di add ons yang dipilih</t>
  </si>
  <si>
    <t>6</t>
  </si>
  <si>
    <t>Klik Add Order</t>
  </si>
  <si>
    <t>muncul detail pada sisi kanan tampilan</t>
  </si>
  <si>
    <t>7</t>
  </si>
  <si>
    <t>Klik Go To Payment</t>
  </si>
  <si>
    <t xml:space="preserve">Muncul bagian untuk memilih transaction </t>
  </si>
  <si>
    <t>8</t>
  </si>
  <si>
    <t>Pilih Payment method</t>
  </si>
  <si>
    <t>9</t>
  </si>
  <si>
    <t>Klik Proceed with payment</t>
  </si>
  <si>
    <t>10</t>
  </si>
  <si>
    <t>Order product 
(takeaway - QRIS)</t>
  </si>
  <si>
    <t>order kombinasi</t>
  </si>
  <si>
    <t>Order product 
(Takeaway - CREDIT)</t>
  </si>
  <si>
    <t>credit beum support</t>
  </si>
  <si>
    <t>Order product 
(takeaway - EDC)</t>
  </si>
  <si>
    <t>TC03_007</t>
  </si>
  <si>
    <t>EDIT PRODUCT IN PAYMENT
Take Away</t>
  </si>
  <si>
    <t>choosing product already</t>
  </si>
  <si>
    <t>klik edit pada product</t>
  </si>
  <si>
    <t>add quantity produk, add product, add notes</t>
  </si>
  <si>
    <t>SEARCH PRODUCT
Existing Product</t>
  </si>
  <si>
    <t>choosing Payment method already</t>
  </si>
  <si>
    <t>Menampilkan preview detail transaction</t>
  </si>
  <si>
    <t>Klik remove</t>
  </si>
  <si>
    <t xml:space="preserve">Menampilkan form </t>
  </si>
  <si>
    <t>Back to menu</t>
  </si>
  <si>
    <t>Transaksi terhapus dan kembali ke menu</t>
  </si>
  <si>
    <t>Remove Order</t>
  </si>
  <si>
    <t xml:space="preserve">Back </t>
  </si>
  <si>
    <t>Klik back</t>
  </si>
  <si>
    <t>REFRESH DATA</t>
  </si>
  <si>
    <t>LOG 54</t>
  </si>
  <si>
    <t>back di printer receipt</t>
  </si>
  <si>
    <t>detail receipt</t>
  </si>
  <si>
    <t>TC03_023</t>
  </si>
  <si>
    <t>ORDER STOCK SISA 1</t>
  </si>
  <si>
    <t>TC03_024</t>
  </si>
  <si>
    <t>ORDER STOCK HABIS</t>
  </si>
  <si>
    <t>TC03_025</t>
  </si>
  <si>
    <t>ORDER STOK 2</t>
  </si>
  <si>
    <t xml:space="preserve">beli product hingga product stock 0
</t>
  </si>
  <si>
    <t>add product to cart till out of stick</t>
  </si>
  <si>
    <t>add to card successful</t>
  </si>
  <si>
    <t>klik go to payment</t>
  </si>
  <si>
    <t>showsh order summary</t>
  </si>
  <si>
    <t>choose payment method</t>
  </si>
  <si>
    <t>choose payment method succeed</t>
  </si>
  <si>
    <t>pay the transaction</t>
  </si>
  <si>
    <t>payment succeed</t>
  </si>
  <si>
    <t>go to hompage</t>
  </si>
  <si>
    <t>the product will showsh label "out of stock"</t>
  </si>
  <si>
    <t>TC03_003</t>
  </si>
  <si>
    <t>transksi rp 0</t>
  </si>
  <si>
    <t xml:space="preserve">Klik button </t>
  </si>
  <si>
    <t>saat ini belum bisa support, jadi harus order lebih dari 0
tidak ada wording yg bisa menjelaskan</t>
  </si>
  <si>
    <t>cek stock cancel payment QRIS</t>
  </si>
  <si>
    <t>click qris</t>
  </si>
  <si>
    <t>shows QRIS and the detail</t>
  </si>
  <si>
    <t xml:space="preserve">klik cancel </t>
  </si>
  <si>
    <t>back to order summary page
stock belum berkurang</t>
  </si>
  <si>
    <t>klik qris kembali</t>
  </si>
  <si>
    <t>shows qr
stock tidak berkurang ataupun bertambah</t>
  </si>
  <si>
    <t>cek stock cancel payment QRIS kemudian cancel order stock</t>
  </si>
  <si>
    <t>click cancel in the order stock</t>
  </si>
  <si>
    <t>back to homepage
stock kembali ke semula</t>
  </si>
  <si>
    <t>Click button berkali kali</t>
  </si>
  <si>
    <t>go to payment button</t>
  </si>
  <si>
    <t>klik button berkali - kali</t>
  </si>
  <si>
    <t>aplikasi tidak crash</t>
  </si>
  <si>
    <t>TC03_002</t>
  </si>
  <si>
    <t>Empty field 
Payment Method 
(Cash)</t>
  </si>
  <si>
    <t>Pilih Payemnt method cash</t>
  </si>
  <si>
    <t>Empty nominal</t>
  </si>
  <si>
    <t>sesuaidengan inputan</t>
  </si>
  <si>
    <t>empty  Customer's change</t>
  </si>
  <si>
    <t>Klik Product with payment</t>
  </si>
  <si>
    <t>Muncul preview detail transaksi</t>
  </si>
  <si>
    <t>Klik Add order</t>
  </si>
  <si>
    <t>Transaksi berhasil</t>
  </si>
  <si>
    <t>Empty field 
Payment Method 
(Credit Card)</t>
  </si>
  <si>
    <t xml:space="preserve">di payment berhasil tetapi di report dll akan terulis pending. Saat ini method ini belum akan digunakan </t>
  </si>
  <si>
    <t>Input Card Holder Name</t>
  </si>
  <si>
    <t>Input Bank Name</t>
  </si>
  <si>
    <t>Input Card Name</t>
  </si>
  <si>
    <t>Input reference number</t>
  </si>
  <si>
    <t>TC03_004</t>
  </si>
  <si>
    <t>Empty field 
Payment Method 
(QRIS)</t>
  </si>
  <si>
    <t>Empty field 
Payment Method 
(EDC)</t>
  </si>
  <si>
    <t>sudah bisa field kosong</t>
  </si>
  <si>
    <t>cancel order sebelum klik go to payment</t>
  </si>
  <si>
    <t>stock sisa 3, buy 3</t>
  </si>
  <si>
    <t xml:space="preserve">save order </t>
  </si>
  <si>
    <t>stock berkurang</t>
  </si>
  <si>
    <t>payment ( di cancel)</t>
  </si>
  <si>
    <t>cancel berhasil - stock kembali lagi</t>
  </si>
  <si>
    <t>order lagi</t>
  </si>
  <si>
    <t>order sukses</t>
  </si>
  <si>
    <t>cancel order setelah add promo galileo</t>
  </si>
  <si>
    <t>aplikasi stuck</t>
  </si>
  <si>
    <t>cancel order setelah add promo POS</t>
  </si>
  <si>
    <t xml:space="preserve">cancel order setelah add voucher </t>
  </si>
  <si>
    <t>TC07_001</t>
  </si>
  <si>
    <t>Penggunaan Voucher</t>
  </si>
  <si>
    <t>klik go to payment ( 1 transaksi)</t>
  </si>
  <si>
    <t>menampilkan page order</t>
  </si>
  <si>
    <t>klik voucher</t>
  </si>
  <si>
    <t>menampilkan field voucher</t>
  </si>
  <si>
    <t>input detail voucher</t>
  </si>
  <si>
    <t>sesuai input</t>
  </si>
  <si>
    <t>klik save</t>
  </si>
  <si>
    <t>berhasil terrecord</t>
  </si>
  <si>
    <t>klik add</t>
  </si>
  <si>
    <t>berhaisl tertambahkan pada amount transaksi</t>
  </si>
  <si>
    <t>TC07_002</t>
  </si>
  <si>
    <t xml:space="preserve">Penggunaan Voucher &gt;1 transaksi </t>
  </si>
  <si>
    <t>dgn voucher code yang sama</t>
  </si>
  <si>
    <t>belum ada pengecekan</t>
  </si>
  <si>
    <t>TC07_003</t>
  </si>
  <si>
    <t>promo pos transaksi + promo product +promo pos+  promo galileo + voucher</t>
  </si>
  <si>
    <t>galileo endless loading</t>
  </si>
  <si>
    <t>TC07_028</t>
  </si>
  <si>
    <t>apply voucher sampai nilai transaki &lt;=0
&lt;voucher pvs&gt;</t>
  </si>
  <si>
    <t>order summary page</t>
  </si>
  <si>
    <t>add voucher hingga amount = 0</t>
  </si>
  <si>
    <t>add voucher berhasil</t>
  </si>
  <si>
    <t>tidak support</t>
  </si>
  <si>
    <t>cek prder summary</t>
  </si>
  <si>
    <t>total amount rp = 0</t>
  </si>
  <si>
    <t>choose paymemt method</t>
  </si>
  <si>
    <t>transaksi berhasil</t>
  </si>
  <si>
    <t>TC07_029</t>
  </si>
  <si>
    <t>apply voucher melebihi batas voucher</t>
  </si>
  <si>
    <t>set batas voucher di back office</t>
  </si>
  <si>
    <t>setup berhasil</t>
  </si>
  <si>
    <t>add voucher melebihi batas voucher</t>
  </si>
  <si>
    <t>showsh error</t>
  </si>
  <si>
    <t>empty field</t>
  </si>
  <si>
    <t>TC07_030</t>
  </si>
  <si>
    <t>apply promo sampai nilai transaki &lt;=0
&lt;promo pvs + galileo&gt;</t>
  </si>
  <si>
    <t>add Promo Galileo 
DINE - IN
&lt;percentage&gt;</t>
  </si>
  <si>
    <t>tambah product di back office</t>
  </si>
  <si>
    <t>Input Current Password</t>
  </si>
  <si>
    <t>Menampilkan masking</t>
  </si>
  <si>
    <t>Input New Password</t>
  </si>
  <si>
    <t>Input Confirn Password</t>
  </si>
  <si>
    <t>Klik Change Password</t>
  </si>
  <si>
    <t>&gt; User akan terlogout
&gt; Login berhasil dengan password baru</t>
  </si>
  <si>
    <t>Note</t>
  </si>
  <si>
    <t>add Promo Galileo 
by apps</t>
  </si>
  <si>
    <t>add Promo Galileo 
by wa</t>
  </si>
  <si>
    <t>add Promo Galileo 
by sms</t>
  </si>
  <si>
    <t>add Promo Galileo 
non member</t>
  </si>
  <si>
    <t>promo non member dengan input nomor member masih meminta challenge code</t>
  </si>
  <si>
    <t>add Promo Galileo 
galielo member</t>
  </si>
  <si>
    <t>add Promo Galileo 
loyalty program member</t>
  </si>
  <si>
    <t>klik sembarang</t>
  </si>
  <si>
    <t>endless loading</t>
  </si>
  <si>
    <t>PROMO POS TRANSAKSI</t>
  </si>
  <si>
    <t xml:space="preserve">promo pos transaksi 
fix amount
</t>
  </si>
  <si>
    <t>promo pos transaksi 
percentage</t>
  </si>
  <si>
    <t>minimum amount</t>
  </si>
  <si>
    <t>maksimum count</t>
  </si>
  <si>
    <t>muncul "this promo has reached its usage limit and is no longer valid</t>
  </si>
  <si>
    <t>promo time</t>
  </si>
  <si>
    <t>melebihi promo fund</t>
  </si>
  <si>
    <t>unlimited fund</t>
  </si>
  <si>
    <t>promo cancel QRIS</t>
  </si>
  <si>
    <t>saat generate QR promo kuota sudah terpakai, tetapi ketika klik cancel dikembalikan kembali</t>
  </si>
  <si>
    <t>PROMO POS PRODUCT</t>
  </si>
  <si>
    <t>TC07_004</t>
  </si>
  <si>
    <t>PROMO POS AUTO APPLY</t>
  </si>
  <si>
    <t>Klik Update Profile</t>
  </si>
  <si>
    <t>Saat melakukan verifikasi email, nama tidak berubah</t>
  </si>
  <si>
    <t>PROMO POS NOT AUTO APPLY</t>
  </si>
  <si>
    <t>TC07_005</t>
  </si>
  <si>
    <t>PROMO PRODUCT POS PERCENTAGE</t>
  </si>
  <si>
    <t>PROMO PRODUCT POS FIXED AMOUNT</t>
  </si>
  <si>
    <t>TC07_006</t>
  </si>
  <si>
    <t>Promo product pos after tax</t>
  </si>
  <si>
    <t>TC07_007</t>
  </si>
  <si>
    <t>Promo promo pos before tax</t>
  </si>
  <si>
    <t>special offer</t>
  </si>
  <si>
    <t xml:space="preserve">promo special offer
</t>
  </si>
  <si>
    <t>Input First Name baru</t>
  </si>
  <si>
    <t>melebibihi maximum count</t>
  </si>
  <si>
    <t>promo product muncul di detail product, tetapi ketika checkout sudah melewati batas maksimum tetap ditolak.muncul error msg " this promo has reached its usage limit"</t>
  </si>
  <si>
    <t>kurang dari started at</t>
  </si>
  <si>
    <t>lebh dari ended at</t>
  </si>
  <si>
    <t xml:space="preserve">promo time tidak sesuai 
</t>
  </si>
  <si>
    <t>case, promo fund tersisa 5000. sedangkan jumlah promo yang akan di apply 6000, promo tetap akan tertolak</t>
  </si>
  <si>
    <t>TC07_027</t>
  </si>
  <si>
    <t xml:space="preserve">tidak apply promo galileo </t>
  </si>
  <si>
    <t>tersedia promo pvs / galileo</t>
  </si>
  <si>
    <t>Menampilkan field password</t>
  </si>
  <si>
    <t>Input Current Wrong Password</t>
  </si>
  <si>
    <t>Input Confirm Password</t>
  </si>
  <si>
    <t>Notifikasi gagal</t>
  </si>
  <si>
    <t>tidak apply promo pos</t>
  </si>
  <si>
    <t>InputWrong Confirm Password</t>
  </si>
  <si>
    <t xml:space="preserve">melebihi promo count
</t>
  </si>
  <si>
    <t xml:space="preserve">cancel payment QRIS
</t>
  </si>
  <si>
    <t>apply promo sampai nilai transaki &lt;=0
&lt;promo pvs&gt;</t>
  </si>
  <si>
    <t>apply promo sampai nilai transaki &lt;=0
&lt;promo galileo&gt;</t>
  </si>
  <si>
    <t>promo buy 1 get 1</t>
  </si>
  <si>
    <t>b1g1</t>
  </si>
  <si>
    <t>kurang dari quantity to buy</t>
  </si>
  <si>
    <t>kurang dari variant to buy</t>
  </si>
  <si>
    <t>muncul error " this promo [promo b1g2 2] has nreached limit</t>
  </si>
  <si>
    <t>melebibihi melebihi amount</t>
  </si>
  <si>
    <t>TC11_001</t>
  </si>
  <si>
    <t>START SHIFT</t>
  </si>
  <si>
    <t>KLIK Shift handover list</t>
  </si>
  <si>
    <t>Menamppilkan page shift log</t>
  </si>
  <si>
    <t>gagal end shift</t>
  </si>
  <si>
    <t>klik start shift</t>
  </si>
  <si>
    <t>menampilkan pop up field untuk mengisi deposit cash</t>
  </si>
  <si>
    <t>input deposit</t>
  </si>
  <si>
    <t>sesuai inputan</t>
  </si>
  <si>
    <t>klik ok</t>
  </si>
  <si>
    <t>detail sesuai</t>
  </si>
  <si>
    <t>START SHIFT kedua</t>
  </si>
  <si>
    <t>END SHIFT</t>
  </si>
  <si>
    <t>klik END shift</t>
  </si>
  <si>
    <t>INSERT STARTING CASH
&lt;NON - INTEGER&gt;</t>
  </si>
  <si>
    <t>INSERT STARTING CASH
&lt; INTEGER &lt;=0 &gt;</t>
  </si>
  <si>
    <t>INSERT STARTING CASH
&lt;INTEGER &gt; 100000000000&gt;</t>
  </si>
  <si>
    <t>LOGOUT APAKAH END SHIFT?</t>
  </si>
  <si>
    <t>EDIT STARTING SHIFT</t>
  </si>
  <si>
    <t>compliment ( 1 produk)</t>
  </si>
  <si>
    <t>karena amount sampai 0, tidak bisa di proses</t>
  </si>
  <si>
    <t>compliment ( 2 produk)</t>
  </si>
  <si>
    <t xml:space="preserve">compliment kemudian split bill </t>
  </si>
  <si>
    <t>compliment kemudian move item</t>
  </si>
  <si>
    <t>grand total</t>
  </si>
  <si>
    <t>klik daily report</t>
  </si>
  <si>
    <t>amount sesuai</t>
  </si>
  <si>
    <t>total amount</t>
  </si>
  <si>
    <t>service charger</t>
  </si>
  <si>
    <t>PB1</t>
  </si>
  <si>
    <t>Promo POS</t>
  </si>
  <si>
    <t>Promo galileo</t>
  </si>
  <si>
    <t>Rounding Amount</t>
  </si>
  <si>
    <t>Net sales</t>
  </si>
  <si>
    <t>report by payment method</t>
  </si>
  <si>
    <t>report by promo pos</t>
  </si>
  <si>
    <t xml:space="preserve">report by products </t>
  </si>
  <si>
    <t>filtering shift</t>
  </si>
  <si>
    <t>apabila all expected cash, started by</t>
  </si>
  <si>
    <t>Expired Token</t>
  </si>
  <si>
    <t>Reservation Notif before</t>
  </si>
  <si>
    <t>apabila reservasi dari back office tidak ter apply confignya</t>
  </si>
  <si>
    <t>expired Reservation</t>
  </si>
  <si>
    <t>Maximum Vouchers</t>
  </si>
  <si>
    <t>Reservation Feature</t>
  </si>
  <si>
    <t>belum bisa di handle</t>
  </si>
  <si>
    <t>Validate Shift Log</t>
  </si>
  <si>
    <t>ROunding Type</t>
  </si>
  <si>
    <t>Multiscreen saat order summary</t>
  </si>
  <si>
    <t>multiscreen ketika payment succedd</t>
  </si>
  <si>
    <t>multiscreen cash</t>
  </si>
  <si>
    <t>multiscreen edc</t>
  </si>
  <si>
    <t>multiscreen QRIS</t>
  </si>
  <si>
    <t>ada detail logo yang seharusnya disesuaikan</t>
  </si>
  <si>
    <t>cancel order</t>
  </si>
  <si>
    <t>user name: littletalk1</t>
  </si>
  <si>
    <t>password : littletalk</t>
  </si>
  <si>
    <t>edit payment</t>
  </si>
  <si>
    <t>user name: userbaru</t>
  </si>
  <si>
    <t>apabila dilakukan edit tidak berubah</t>
  </si>
  <si>
    <t>QRIS timeout</t>
  </si>
  <si>
    <t>mengganti payment method</t>
  </si>
  <si>
    <t>scan barcode</t>
  </si>
  <si>
    <t>scan QR</t>
  </si>
  <si>
    <t>Scan barcode sku lebih dari 2</t>
  </si>
  <si>
    <t>scan QR lebih dari 2</t>
  </si>
  <si>
    <t>scan barcode not spesific</t>
  </si>
  <si>
    <t>scan QR not spesific</t>
  </si>
  <si>
    <t>scan qr spasi</t>
  </si>
  <si>
    <t>Pass [.]</t>
  </si>
  <si>
    <t>TC06_001</t>
  </si>
  <si>
    <t>edit setting printer</t>
  </si>
  <si>
    <t>tidak muncul</t>
  </si>
  <si>
    <t>edit setting kategori ke banyak</t>
  </si>
  <si>
    <t>print ui kitchen</t>
  </si>
  <si>
    <t>ketika pertama kali printer dihidupkan meskipun di refresh logo di tampilan tetap silang. perlu trigger transaksi/print duplicate baru logonya berubah jadi centang</t>
  </si>
  <si>
    <t>TC06_002</t>
  </si>
  <si>
    <t>printer cable
kitchen</t>
  </si>
  <si>
    <t>TC06_004</t>
  </si>
  <si>
    <t>printer cable bar</t>
  </si>
  <si>
    <t>printer cable kasir</t>
  </si>
  <si>
    <t>printer cable runner</t>
  </si>
  <si>
    <t>printer cable checker</t>
  </si>
  <si>
    <t>Merchant</t>
  </si>
  <si>
    <t>Littletalk</t>
  </si>
  <si>
    <t>Store</t>
  </si>
  <si>
    <t>Littletalk Urban Forest</t>
  </si>
  <si>
    <t>Sales Mode</t>
  </si>
  <si>
    <t>online, takeaway, dine in</t>
  </si>
  <si>
    <t>Table</t>
  </si>
  <si>
    <t>Table 1, 2</t>
  </si>
  <si>
    <t>product category</t>
  </si>
  <si>
    <t>food</t>
  </si>
  <si>
    <t>beverages</t>
  </si>
  <si>
    <t>sub product category</t>
  </si>
  <si>
    <t>appetizer</t>
  </si>
  <si>
    <t>main course</t>
  </si>
  <si>
    <t>dessert</t>
  </si>
  <si>
    <t>coffee</t>
  </si>
  <si>
    <t>non cofee</t>
  </si>
  <si>
    <t>product</t>
  </si>
  <si>
    <t>sub product</t>
  </si>
  <si>
    <t>variant</t>
  </si>
  <si>
    <t>product option</t>
  </si>
  <si>
    <t>salad</t>
  </si>
  <si>
    <t>caesar salad</t>
  </si>
  <si>
    <t>extra cheese (optional)</t>
  </si>
  <si>
    <t>green salad</t>
  </si>
  <si>
    <t>hot ( mandatory)</t>
  </si>
  <si>
    <t>greek salad</t>
  </si>
  <si>
    <t>pizza</t>
  </si>
  <si>
    <t>beef pizza</t>
  </si>
  <si>
    <t>hot (mandatory)</t>
  </si>
  <si>
    <t>extra beef (optional)</t>
  </si>
  <si>
    <t>wings bucket</t>
  </si>
  <si>
    <t>buldak wings bucket</t>
  </si>
  <si>
    <t>honey mustard wings bucket</t>
  </si>
  <si>
    <t>Fried rice</t>
  </si>
  <si>
    <t>chicken fried rice</t>
  </si>
  <si>
    <t>beef fried rice</t>
  </si>
  <si>
    <t>pasta</t>
  </si>
  <si>
    <t>bolongness</t>
  </si>
  <si>
    <t>REVISION HISTORY</t>
  </si>
  <si>
    <t>Version</t>
  </si>
  <si>
    <t>Description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</si>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</sst>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\T\C000"/>
    <numFmt numFmtId="166" formatCode="d\ mmm\ yyyy\ \|\ h:mm\ AM/PM"/>
  </numFmts>
  <fonts count="35">
    <font>
      <sz val="11"/>
      <color theme="1"/>
      <name val="Calibri"/>
      <family val="2"/>
      <scheme val="minor"/>
    </font>
    <font>
      <sz val="11"/>
      <color theme="1"/>
      <name val="DejaVu Sans"/>
      <family val="2"/>
    </font>
    <font>
      <sz val="16"/>
      <color theme="1"/>
      <name val="Georgia"/>
      <family val="1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8"/>
      <color rgb="FF00B050"/>
      <name val="Tahoma"/>
      <family val="2"/>
    </font>
    <font>
      <sz val="8"/>
      <color rgb="FFFF0000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Tahoma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206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7">
    <xf numFmtId="0" fontId="0" fillId="0" borderId="0"/>
    <xf numFmtId="0" fontId="1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90">
    <xf numFmtId="0" fontId="0" fillId="0" borderId="0" xfId="0"/>
    <xf numFmtId="0" fontId="1" fillId="0" borderId="0" xfId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8" borderId="0" xfId="1" applyFill="1"/>
    <xf numFmtId="0" fontId="2" fillId="8" borderId="0" xfId="1" applyFont="1" applyFill="1" applyAlignment="1">
      <alignment vertical="center"/>
    </xf>
    <xf numFmtId="0" fontId="3" fillId="8" borderId="0" xfId="1" applyFont="1" applyFill="1" applyAlignment="1">
      <alignment horizontal="left" vertical="center"/>
    </xf>
    <xf numFmtId="0" fontId="3" fillId="8" borderId="0" xfId="1" applyFont="1" applyFill="1" applyAlignment="1">
      <alignment horizontal="center" vertical="center"/>
    </xf>
    <xf numFmtId="0" fontId="5" fillId="3" borderId="2" xfId="0" applyFont="1" applyFill="1" applyBorder="1" applyAlignment="1">
      <alignment vertical="top" wrapText="1"/>
    </xf>
    <xf numFmtId="0" fontId="0" fillId="3" borderId="0" xfId="0" applyFill="1" applyAlignment="1">
      <alignment horizontal="center"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8" xfId="0" applyFill="1" applyBorder="1" applyAlignment="1">
      <alignment wrapText="1"/>
    </xf>
    <xf numFmtId="0" fontId="0" fillId="3" borderId="7" xfId="0" applyFill="1" applyBorder="1" applyAlignment="1">
      <alignment horizontal="center" wrapText="1"/>
    </xf>
    <xf numFmtId="0" fontId="7" fillId="5" borderId="1" xfId="3" applyBorder="1" applyAlignment="1">
      <alignment vertical="center" wrapText="1"/>
    </xf>
    <xf numFmtId="0" fontId="7" fillId="5" borderId="1" xfId="3" applyBorder="1" applyAlignment="1">
      <alignment horizontal="center" vertical="center" wrapText="1"/>
    </xf>
    <xf numFmtId="0" fontId="8" fillId="6" borderId="1" xfId="4" applyBorder="1" applyAlignment="1">
      <alignment vertical="center" wrapText="1"/>
    </xf>
    <xf numFmtId="0" fontId="8" fillId="6" borderId="1" xfId="4" applyBorder="1" applyAlignment="1">
      <alignment horizontal="center" vertical="center" wrapText="1"/>
    </xf>
    <xf numFmtId="0" fontId="9" fillId="7" borderId="1" xfId="5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0" fontId="0" fillId="3" borderId="7" xfId="0" applyFill="1" applyBorder="1" applyAlignment="1">
      <alignment horizontal="right" wrapText="1"/>
    </xf>
    <xf numFmtId="0" fontId="0" fillId="8" borderId="0" xfId="0" applyFill="1"/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vertical="top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top" wrapText="1"/>
    </xf>
    <xf numFmtId="0" fontId="2" fillId="8" borderId="0" xfId="1" applyFont="1" applyFill="1" applyAlignment="1">
      <alignment horizontal="center" vertical="center"/>
    </xf>
    <xf numFmtId="10" fontId="3" fillId="8" borderId="0" xfId="1" applyNumberFormat="1" applyFont="1" applyFill="1" applyAlignment="1">
      <alignment horizontal="left" vertical="center"/>
    </xf>
    <xf numFmtId="10" fontId="3" fillId="2" borderId="1" xfId="1" applyNumberFormat="1" applyFont="1" applyFill="1" applyBorder="1" applyAlignment="1">
      <alignment horizontal="right" vertical="center"/>
    </xf>
    <xf numFmtId="49" fontId="0" fillId="3" borderId="7" xfId="0" applyNumberFormat="1" applyFill="1" applyBorder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5" fillId="3" borderId="2" xfId="0" applyNumberFormat="1" applyFont="1" applyFill="1" applyBorder="1" applyAlignment="1">
      <alignment vertical="top" wrapText="1"/>
    </xf>
    <xf numFmtId="49" fontId="0" fillId="0" borderId="0" xfId="0" applyNumberFormat="1" applyAlignment="1">
      <alignment vertical="center" wrapText="1"/>
    </xf>
    <xf numFmtId="0" fontId="14" fillId="8" borderId="0" xfId="1" applyFont="1" applyFill="1" applyAlignment="1">
      <alignment vertical="center"/>
    </xf>
    <xf numFmtId="0" fontId="3" fillId="8" borderId="3" xfId="1" applyFont="1" applyFill="1" applyBorder="1" applyAlignment="1">
      <alignment horizontal="left" vertical="center"/>
    </xf>
    <xf numFmtId="0" fontId="3" fillId="8" borderId="12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right" vertical="center"/>
    </xf>
    <xf numFmtId="10" fontId="2" fillId="8" borderId="0" xfId="1" applyNumberFormat="1" applyFont="1" applyFill="1" applyAlignment="1">
      <alignment vertical="center"/>
    </xf>
    <xf numFmtId="10" fontId="3" fillId="0" borderId="0" xfId="1" applyNumberFormat="1" applyFont="1" applyAlignment="1">
      <alignment horizontal="left" vertical="center"/>
    </xf>
    <xf numFmtId="9" fontId="12" fillId="3" borderId="7" xfId="0" applyNumberFormat="1" applyFont="1" applyFill="1" applyBorder="1" applyAlignment="1">
      <alignment horizontal="center" wrapText="1"/>
    </xf>
    <xf numFmtId="9" fontId="12" fillId="3" borderId="0" xfId="0" applyNumberFormat="1" applyFont="1" applyFill="1" applyAlignment="1">
      <alignment horizontal="center" wrapText="1"/>
    </xf>
    <xf numFmtId="49" fontId="10" fillId="3" borderId="0" xfId="0" applyNumberFormat="1" applyFont="1" applyFill="1" applyAlignment="1">
      <alignment horizontal="center" vertical="center" wrapText="1"/>
    </xf>
    <xf numFmtId="164" fontId="0" fillId="3" borderId="0" xfId="0" applyNumberFormat="1" applyFill="1" applyAlignment="1">
      <alignment horizontal="left" vertical="top" wrapText="1"/>
    </xf>
    <xf numFmtId="0" fontId="0" fillId="8" borderId="1" xfId="0" applyFill="1" applyBorder="1" applyAlignment="1">
      <alignment horizontal="center" vertical="center"/>
    </xf>
    <xf numFmtId="16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8" borderId="8" xfId="0" applyNumberForma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6" fillId="4" borderId="1" xfId="2" applyBorder="1" applyAlignment="1">
      <alignment vertical="center" wrapText="1"/>
    </xf>
    <xf numFmtId="0" fontId="6" fillId="4" borderId="1" xfId="2" applyBorder="1" applyAlignment="1">
      <alignment horizontal="center" vertical="center" wrapText="1"/>
    </xf>
    <xf numFmtId="9" fontId="0" fillId="3" borderId="0" xfId="0" applyNumberFormat="1" applyFill="1" applyAlignment="1">
      <alignment horizontal="left" vertical="center" wrapText="1"/>
    </xf>
    <xf numFmtId="9" fontId="12" fillId="3" borderId="7" xfId="0" applyNumberFormat="1" applyFont="1" applyFill="1" applyBorder="1" applyAlignment="1">
      <alignment horizontal="center" vertical="top" wrapText="1"/>
    </xf>
    <xf numFmtId="9" fontId="12" fillId="3" borderId="0" xfId="0" applyNumberFormat="1" applyFont="1" applyFill="1" applyAlignment="1">
      <alignment horizontal="center" vertical="top" wrapText="1"/>
    </xf>
    <xf numFmtId="49" fontId="10" fillId="3" borderId="0" xfId="0" applyNumberFormat="1" applyFont="1" applyFill="1" applyAlignment="1">
      <alignment horizontal="center" vertical="top" wrapText="1"/>
    </xf>
    <xf numFmtId="0" fontId="0" fillId="3" borderId="7" xfId="1" applyFont="1" applyFill="1" applyBorder="1" applyAlignment="1">
      <alignment horizontal="left"/>
    </xf>
    <xf numFmtId="0" fontId="20" fillId="0" borderId="1" xfId="1" applyFont="1" applyBorder="1" applyAlignment="1">
      <alignment horizontal="right" vertical="center"/>
    </xf>
    <xf numFmtId="10" fontId="20" fillId="0" borderId="1" xfId="1" applyNumberFormat="1" applyFont="1" applyBorder="1" applyAlignment="1">
      <alignment horizontal="right" vertical="center"/>
    </xf>
    <xf numFmtId="49" fontId="0" fillId="0" borderId="10" xfId="0" applyNumberFormat="1" applyBorder="1" applyAlignment="1">
      <alignment horizontal="center" vertical="top" wrapText="1"/>
    </xf>
    <xf numFmtId="165" fontId="11" fillId="10" borderId="15" xfId="0" applyNumberFormat="1" applyFont="1" applyFill="1" applyBorder="1" applyAlignment="1">
      <alignment horizontal="center" vertical="top" wrapText="1"/>
    </xf>
    <xf numFmtId="165" fontId="22" fillId="10" borderId="15" xfId="0" applyNumberFormat="1" applyFont="1" applyFill="1" applyBorder="1" applyAlignment="1">
      <alignment horizontal="left" vertical="top" wrapText="1"/>
    </xf>
    <xf numFmtId="165" fontId="0" fillId="10" borderId="15" xfId="0" applyNumberFormat="1" applyFill="1" applyBorder="1" applyAlignment="1">
      <alignment horizontal="left" vertical="top" wrapText="1"/>
    </xf>
    <xf numFmtId="0" fontId="3" fillId="8" borderId="7" xfId="1" applyFont="1" applyFill="1" applyBorder="1" applyAlignment="1">
      <alignment horizontal="left" vertical="center"/>
    </xf>
    <xf numFmtId="0" fontId="3" fillId="8" borderId="0" xfId="1" applyFont="1" applyFill="1" applyAlignment="1">
      <alignment horizontal="right" vertical="center"/>
    </xf>
    <xf numFmtId="165" fontId="0" fillId="10" borderId="15" xfId="0" applyNumberFormat="1" applyFill="1" applyBorder="1" applyAlignment="1">
      <alignment horizontal="center" vertical="top" wrapText="1"/>
    </xf>
    <xf numFmtId="0" fontId="3" fillId="8" borderId="0" xfId="1" applyFont="1" applyFill="1" applyAlignment="1">
      <alignment vertical="center"/>
    </xf>
    <xf numFmtId="10" fontId="1" fillId="8" borderId="0" xfId="1" applyNumberFormat="1" applyFill="1"/>
    <xf numFmtId="0" fontId="16" fillId="9" borderId="7" xfId="1" applyFont="1" applyFill="1" applyBorder="1" applyAlignment="1">
      <alignment vertical="center"/>
    </xf>
    <xf numFmtId="10" fontId="16" fillId="9" borderId="8" xfId="1" applyNumberFormat="1" applyFont="1" applyFill="1" applyBorder="1" applyAlignment="1">
      <alignment vertical="center"/>
    </xf>
    <xf numFmtId="0" fontId="18" fillId="8" borderId="1" xfId="6" applyFill="1" applyBorder="1" applyAlignment="1">
      <alignment vertical="center"/>
    </xf>
    <xf numFmtId="0" fontId="4" fillId="8" borderId="6" xfId="1" applyFon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 wrapText="1"/>
    </xf>
    <xf numFmtId="165" fontId="22" fillId="10" borderId="14" xfId="0" applyNumberFormat="1" applyFont="1" applyFill="1" applyBorder="1" applyAlignment="1">
      <alignment horizontal="center" vertical="center" wrapText="1"/>
    </xf>
    <xf numFmtId="165" fontId="22" fillId="10" borderId="9" xfId="0" applyNumberFormat="1" applyFont="1" applyFill="1" applyBorder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24" fillId="12" borderId="1" xfId="2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165" fontId="0" fillId="10" borderId="15" xfId="0" applyNumberFormat="1" applyFill="1" applyBorder="1" applyAlignment="1">
      <alignment vertical="top" wrapText="1"/>
    </xf>
    <xf numFmtId="0" fontId="3" fillId="9" borderId="6" xfId="1" applyFont="1" applyFill="1" applyBorder="1" applyAlignment="1">
      <alignment horizontal="center" vertical="center"/>
    </xf>
    <xf numFmtId="0" fontId="15" fillId="9" borderId="5" xfId="1" applyFont="1" applyFill="1" applyBorder="1" applyAlignment="1">
      <alignment vertical="center"/>
    </xf>
    <xf numFmtId="0" fontId="3" fillId="9" borderId="4" xfId="1" applyFont="1" applyFill="1" applyBorder="1" applyAlignment="1">
      <alignment horizontal="center" vertical="center"/>
    </xf>
    <xf numFmtId="0" fontId="17" fillId="9" borderId="0" xfId="1" applyFont="1" applyFill="1" applyAlignment="1">
      <alignment vertical="center"/>
    </xf>
    <xf numFmtId="10" fontId="17" fillId="9" borderId="9" xfId="1" applyNumberFormat="1" applyFont="1" applyFill="1" applyBorder="1" applyAlignment="1">
      <alignment vertical="center"/>
    </xf>
    <xf numFmtId="0" fontId="25" fillId="9" borderId="2" xfId="1" applyFont="1" applyFill="1" applyBorder="1" applyAlignment="1">
      <alignment vertical="center"/>
    </xf>
    <xf numFmtId="10" fontId="25" fillId="9" borderId="10" xfId="1" applyNumberFormat="1" applyFont="1" applyFill="1" applyBorder="1" applyAlignment="1">
      <alignment vertical="center"/>
    </xf>
    <xf numFmtId="49" fontId="0" fillId="0" borderId="13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165" fontId="22" fillId="1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top" wrapText="1"/>
    </xf>
    <xf numFmtId="0" fontId="27" fillId="14" borderId="1" xfId="0" applyFont="1" applyFill="1" applyBorder="1" applyAlignment="1">
      <alignment horizontal="left" vertical="top" wrapText="1"/>
    </xf>
    <xf numFmtId="0" fontId="27" fillId="14" borderId="1" xfId="0" applyFont="1" applyFill="1" applyBorder="1" applyAlignment="1">
      <alignment vertical="top" wrapText="1"/>
    </xf>
    <xf numFmtId="49" fontId="0" fillId="0" borderId="9" xfId="0" applyNumberFormat="1" applyBorder="1" applyAlignment="1">
      <alignment horizontal="center" vertical="top" wrapText="1"/>
    </xf>
    <xf numFmtId="0" fontId="27" fillId="14" borderId="13" xfId="0" applyFont="1" applyFill="1" applyBorder="1" applyAlignment="1">
      <alignment horizontal="left" vertical="top" wrapText="1"/>
    </xf>
    <xf numFmtId="165" fontId="22" fillId="10" borderId="16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65" fontId="0" fillId="0" borderId="1" xfId="0" applyNumberFormat="1" applyBorder="1" applyAlignment="1">
      <alignment horizontal="left" vertical="top" wrapText="1"/>
    </xf>
    <xf numFmtId="165" fontId="11" fillId="0" borderId="1" xfId="0" applyNumberFormat="1" applyFont="1" applyBorder="1" applyAlignment="1">
      <alignment horizontal="center" vertical="top" wrapText="1"/>
    </xf>
    <xf numFmtId="165" fontId="22" fillId="10" borderId="17" xfId="0" applyNumberFormat="1" applyFont="1" applyFill="1" applyBorder="1" applyAlignment="1">
      <alignment horizontal="left" vertical="top" wrapText="1"/>
    </xf>
    <xf numFmtId="49" fontId="0" fillId="0" borderId="11" xfId="0" applyNumberFormat="1" applyBorder="1" applyAlignment="1">
      <alignment horizontal="center" vertical="top" wrapText="1"/>
    </xf>
    <xf numFmtId="0" fontId="27" fillId="14" borderId="11" xfId="0" applyFont="1" applyFill="1" applyBorder="1" applyAlignment="1">
      <alignment horizontal="left" vertical="top" wrapText="1"/>
    </xf>
    <xf numFmtId="0" fontId="27" fillId="14" borderId="11" xfId="0" applyFont="1" applyFill="1" applyBorder="1" applyAlignment="1">
      <alignment vertical="top" wrapText="1"/>
    </xf>
    <xf numFmtId="165" fontId="22" fillId="10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7" fillId="18" borderId="1" xfId="0" applyFont="1" applyFill="1" applyBorder="1" applyAlignment="1">
      <alignment horizontal="left" vertical="top" wrapText="1"/>
    </xf>
    <xf numFmtId="165" fontId="0" fillId="10" borderId="21" xfId="0" applyNumberFormat="1" applyFill="1" applyBorder="1" applyAlignment="1">
      <alignment vertical="top" wrapText="1"/>
    </xf>
    <xf numFmtId="165" fontId="0" fillId="10" borderId="25" xfId="0" applyNumberFormat="1" applyFill="1" applyBorder="1" applyAlignment="1">
      <alignment vertical="top" wrapText="1"/>
    </xf>
    <xf numFmtId="165" fontId="0" fillId="10" borderId="3" xfId="0" applyNumberFormat="1" applyFill="1" applyBorder="1" applyAlignment="1">
      <alignment horizontal="left" vertical="top" wrapText="1"/>
    </xf>
    <xf numFmtId="165" fontId="0" fillId="10" borderId="19" xfId="0" applyNumberFormat="1" applyFill="1" applyBorder="1" applyAlignment="1">
      <alignment horizontal="left" vertical="top" wrapText="1"/>
    </xf>
    <xf numFmtId="165" fontId="22" fillId="10" borderId="15" xfId="0" applyNumberFormat="1" applyFont="1" applyFill="1" applyBorder="1" applyAlignment="1">
      <alignment horizontal="center" vertical="center" wrapText="1"/>
    </xf>
    <xf numFmtId="165" fontId="0" fillId="10" borderId="20" xfId="0" applyNumberFormat="1" applyFill="1" applyBorder="1" applyAlignment="1">
      <alignment horizontal="left" vertical="top" wrapText="1"/>
    </xf>
    <xf numFmtId="165" fontId="0" fillId="10" borderId="17" xfId="0" applyNumberFormat="1" applyFill="1" applyBorder="1" applyAlignment="1">
      <alignment vertical="top" wrapText="1"/>
    </xf>
    <xf numFmtId="165" fontId="0" fillId="10" borderId="16" xfId="0" applyNumberFormat="1" applyFill="1" applyBorder="1" applyAlignment="1">
      <alignment vertical="top" wrapText="1"/>
    </xf>
    <xf numFmtId="0" fontId="27" fillId="14" borderId="5" xfId="0" applyFont="1" applyFill="1" applyBorder="1" applyAlignment="1">
      <alignment vertical="top" wrapText="1"/>
    </xf>
    <xf numFmtId="0" fontId="27" fillId="14" borderId="3" xfId="0" applyFont="1" applyFill="1" applyBorder="1" applyAlignment="1">
      <alignment vertical="top" wrapText="1"/>
    </xf>
    <xf numFmtId="165" fontId="11" fillId="10" borderId="15" xfId="0" applyNumberFormat="1" applyFont="1" applyFill="1" applyBorder="1" applyAlignment="1">
      <alignment vertical="top" wrapText="1"/>
    </xf>
    <xf numFmtId="0" fontId="27" fillId="14" borderId="6" xfId="0" applyFont="1" applyFill="1" applyBorder="1" applyAlignment="1">
      <alignment vertical="top" wrapText="1"/>
    </xf>
    <xf numFmtId="49" fontId="0" fillId="0" borderId="15" xfId="0" applyNumberFormat="1" applyBorder="1" applyAlignment="1">
      <alignment horizontal="center" vertical="top" wrapText="1"/>
    </xf>
    <xf numFmtId="0" fontId="27" fillId="14" borderId="15" xfId="0" applyFont="1" applyFill="1" applyBorder="1" applyAlignment="1">
      <alignment horizontal="left" vertical="top" wrapText="1"/>
    </xf>
    <xf numFmtId="0" fontId="27" fillId="14" borderId="15" xfId="0" applyFont="1" applyFill="1" applyBorder="1" applyAlignment="1">
      <alignment vertical="top" wrapText="1"/>
    </xf>
    <xf numFmtId="0" fontId="27" fillId="18" borderId="15" xfId="0" applyFont="1" applyFill="1" applyBorder="1" applyAlignment="1">
      <alignment horizontal="left" vertical="top" wrapText="1"/>
    </xf>
    <xf numFmtId="49" fontId="0" fillId="0" borderId="14" xfId="0" applyNumberFormat="1" applyBorder="1" applyAlignment="1">
      <alignment horizontal="center" vertical="top" wrapText="1"/>
    </xf>
    <xf numFmtId="49" fontId="0" fillId="0" borderId="17" xfId="0" applyNumberFormat="1" applyBorder="1" applyAlignment="1">
      <alignment horizontal="center" vertical="top" wrapText="1"/>
    </xf>
    <xf numFmtId="0" fontId="27" fillId="14" borderId="17" xfId="0" applyFont="1" applyFill="1" applyBorder="1" applyAlignment="1">
      <alignment horizontal="left" vertical="top" wrapText="1"/>
    </xf>
    <xf numFmtId="0" fontId="27" fillId="14" borderId="17" xfId="0" applyFont="1" applyFill="1" applyBorder="1" applyAlignment="1">
      <alignment vertical="top" wrapText="1"/>
    </xf>
    <xf numFmtId="49" fontId="0" fillId="0" borderId="15" xfId="0" applyNumberForma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49" fontId="0" fillId="0" borderId="15" xfId="0" applyNumberFormat="1" applyBorder="1" applyAlignment="1">
      <alignment vertical="center" wrapText="1"/>
    </xf>
    <xf numFmtId="165" fontId="0" fillId="10" borderId="26" xfId="0" applyNumberFormat="1" applyFill="1" applyBorder="1" applyAlignment="1">
      <alignment vertical="top" wrapText="1"/>
    </xf>
    <xf numFmtId="165" fontId="22" fillId="10" borderId="11" xfId="0" applyNumberFormat="1" applyFont="1" applyFill="1" applyBorder="1" applyAlignment="1">
      <alignment horizontal="center" vertical="center" wrapText="1"/>
    </xf>
    <xf numFmtId="165" fontId="0" fillId="10" borderId="6" xfId="0" applyNumberFormat="1" applyFill="1" applyBorder="1" applyAlignment="1">
      <alignment horizontal="left" vertical="top" wrapText="1"/>
    </xf>
    <xf numFmtId="165" fontId="22" fillId="10" borderId="16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9" fontId="18" fillId="8" borderId="6" xfId="6" applyNumberFormat="1" applyFill="1" applyBorder="1" applyAlignment="1">
      <alignment horizontal="left" vertical="center"/>
    </xf>
    <xf numFmtId="9" fontId="18" fillId="8" borderId="8" xfId="6" applyNumberFormat="1" applyFill="1" applyBorder="1" applyAlignment="1">
      <alignment horizontal="left" vertical="center"/>
    </xf>
    <xf numFmtId="165" fontId="22" fillId="10" borderId="10" xfId="0" applyNumberFormat="1" applyFont="1" applyFill="1" applyBorder="1" applyAlignment="1">
      <alignment horizontal="center" vertical="center" wrapText="1"/>
    </xf>
    <xf numFmtId="165" fontId="22" fillId="10" borderId="12" xfId="0" applyNumberFormat="1" applyFont="1" applyFill="1" applyBorder="1" applyAlignment="1">
      <alignment horizontal="center" vertical="center" wrapText="1"/>
    </xf>
    <xf numFmtId="165" fontId="22" fillId="10" borderId="13" xfId="0" applyNumberFormat="1" applyFont="1" applyFill="1" applyBorder="1" applyAlignment="1">
      <alignment horizontal="left" vertical="top" wrapText="1"/>
    </xf>
    <xf numFmtId="165" fontId="0" fillId="10" borderId="21" xfId="0" applyNumberFormat="1" applyFill="1" applyBorder="1" applyAlignment="1">
      <alignment horizontal="left" vertical="top" wrapText="1"/>
    </xf>
    <xf numFmtId="0" fontId="27" fillId="14" borderId="15" xfId="0" applyFont="1" applyFill="1" applyBorder="1" applyAlignment="1">
      <alignment vertical="center" wrapText="1"/>
    </xf>
    <xf numFmtId="165" fontId="0" fillId="0" borderId="15" xfId="0" applyNumberFormat="1" applyBorder="1" applyAlignment="1">
      <alignment horizontal="left" vertical="top" wrapText="1"/>
    </xf>
    <xf numFmtId="165" fontId="0" fillId="0" borderId="13" xfId="0" applyNumberFormat="1" applyBorder="1" applyAlignment="1">
      <alignment horizontal="left" vertical="top" wrapText="1"/>
    </xf>
    <xf numFmtId="0" fontId="0" fillId="0" borderId="11" xfId="0" applyBorder="1" applyAlignment="1">
      <alignment horizontal="center" vertical="top" wrapText="1"/>
    </xf>
    <xf numFmtId="165" fontId="0" fillId="0" borderId="11" xfId="0" applyNumberFormat="1" applyBorder="1" applyAlignment="1">
      <alignment horizontal="left" vertical="top" wrapText="1"/>
    </xf>
    <xf numFmtId="165" fontId="11" fillId="0" borderId="11" xfId="0" applyNumberFormat="1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165" fontId="11" fillId="0" borderId="15" xfId="0" applyNumberFormat="1" applyFont="1" applyBorder="1" applyAlignment="1">
      <alignment horizontal="center" vertical="top" wrapText="1"/>
    </xf>
    <xf numFmtId="165" fontId="0" fillId="0" borderId="3" xfId="0" applyNumberFormat="1" applyBorder="1" applyAlignment="1">
      <alignment horizontal="left" vertical="top" wrapText="1"/>
    </xf>
    <xf numFmtId="165" fontId="0" fillId="0" borderId="6" xfId="0" applyNumberFormat="1" applyBorder="1" applyAlignment="1">
      <alignment horizontal="left" vertical="top" wrapText="1"/>
    </xf>
    <xf numFmtId="165" fontId="0" fillId="0" borderId="19" xfId="0" applyNumberFormat="1" applyBorder="1" applyAlignment="1">
      <alignment horizontal="left" vertical="top" wrapText="1"/>
    </xf>
    <xf numFmtId="49" fontId="0" fillId="0" borderId="16" xfId="0" applyNumberFormat="1" applyBorder="1" applyAlignment="1">
      <alignment horizontal="center" vertical="center" wrapText="1"/>
    </xf>
    <xf numFmtId="165" fontId="0" fillId="10" borderId="1" xfId="0" applyNumberFormat="1" applyFill="1" applyBorder="1" applyAlignment="1">
      <alignment horizontal="left" vertical="top" wrapText="1"/>
    </xf>
    <xf numFmtId="165" fontId="0" fillId="10" borderId="1" xfId="0" applyNumberFormat="1" applyFill="1" applyBorder="1" applyAlignment="1">
      <alignment vertical="top" wrapText="1"/>
    </xf>
    <xf numFmtId="9" fontId="18" fillId="8" borderId="3" xfId="6" applyNumberFormat="1" applyFill="1" applyBorder="1" applyAlignment="1">
      <alignment horizontal="left" vertical="center"/>
    </xf>
    <xf numFmtId="0" fontId="27" fillId="14" borderId="23" xfId="0" applyFont="1" applyFill="1" applyBorder="1" applyAlignment="1">
      <alignment vertical="top" wrapText="1"/>
    </xf>
    <xf numFmtId="0" fontId="27" fillId="14" borderId="7" xfId="0" applyFont="1" applyFill="1" applyBorder="1" applyAlignment="1">
      <alignment vertical="top" wrapText="1"/>
    </xf>
    <xf numFmtId="165" fontId="31" fillId="10" borderId="15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165" fontId="0" fillId="0" borderId="16" xfId="0" applyNumberFormat="1" applyBorder="1" applyAlignment="1">
      <alignment horizontal="left" vertical="top" wrapText="1"/>
    </xf>
    <xf numFmtId="165" fontId="11" fillId="0" borderId="16" xfId="0" applyNumberFormat="1" applyFont="1" applyBorder="1" applyAlignment="1">
      <alignment horizontal="center" vertical="top" wrapText="1"/>
    </xf>
    <xf numFmtId="0" fontId="20" fillId="0" borderId="13" xfId="1" applyFont="1" applyBorder="1" applyAlignment="1">
      <alignment horizontal="right" vertical="center"/>
    </xf>
    <xf numFmtId="10" fontId="20" fillId="0" borderId="13" xfId="1" applyNumberFormat="1" applyFont="1" applyBorder="1" applyAlignment="1">
      <alignment horizontal="right" vertical="center"/>
    </xf>
    <xf numFmtId="165" fontId="11" fillId="0" borderId="3" xfId="0" applyNumberFormat="1" applyFont="1" applyBorder="1" applyAlignment="1">
      <alignment horizontal="center" vertical="top" wrapText="1"/>
    </xf>
    <xf numFmtId="165" fontId="31" fillId="10" borderId="15" xfId="0" applyNumberFormat="1" applyFont="1" applyFill="1" applyBorder="1" applyAlignment="1">
      <alignment horizontal="left" vertical="top" wrapText="1"/>
    </xf>
    <xf numFmtId="165" fontId="31" fillId="10" borderId="17" xfId="0" applyNumberFormat="1" applyFont="1" applyFill="1" applyBorder="1" applyAlignment="1">
      <alignment horizontal="left" vertical="top" wrapText="1"/>
    </xf>
    <xf numFmtId="165" fontId="31" fillId="10" borderId="1" xfId="0" applyNumberFormat="1" applyFont="1" applyFill="1" applyBorder="1" applyAlignment="1">
      <alignment horizontal="left" vertical="top" wrapText="1"/>
    </xf>
    <xf numFmtId="165" fontId="31" fillId="10" borderId="13" xfId="0" applyNumberFormat="1" applyFont="1" applyFill="1" applyBorder="1" applyAlignment="1">
      <alignment horizontal="left" vertical="top" wrapText="1"/>
    </xf>
    <xf numFmtId="165" fontId="31" fillId="10" borderId="16" xfId="0" applyNumberFormat="1" applyFont="1" applyFill="1" applyBorder="1" applyAlignment="1">
      <alignment horizontal="center" vertical="center" wrapText="1"/>
    </xf>
    <xf numFmtId="165" fontId="31" fillId="10" borderId="16" xfId="0" applyNumberFormat="1" applyFont="1" applyFill="1" applyBorder="1" applyAlignment="1">
      <alignment horizontal="left" vertical="top" wrapText="1"/>
    </xf>
    <xf numFmtId="165" fontId="0" fillId="10" borderId="28" xfId="0" applyNumberFormat="1" applyFill="1" applyBorder="1" applyAlignment="1">
      <alignment horizontal="left" vertical="top" wrapText="1"/>
    </xf>
    <xf numFmtId="165" fontId="0" fillId="10" borderId="29" xfId="0" applyNumberFormat="1" applyFill="1" applyBorder="1" applyAlignment="1">
      <alignment horizontal="left" vertical="top" wrapText="1"/>
    </xf>
    <xf numFmtId="165" fontId="0" fillId="10" borderId="23" xfId="0" applyNumberFormat="1" applyFill="1" applyBorder="1" applyAlignment="1">
      <alignment horizontal="left" vertical="top" wrapText="1"/>
    </xf>
    <xf numFmtId="165" fontId="0" fillId="10" borderId="7" xfId="0" applyNumberFormat="1" applyFill="1" applyBorder="1" applyAlignment="1">
      <alignment horizontal="left" vertical="top" wrapText="1"/>
    </xf>
    <xf numFmtId="165" fontId="0" fillId="10" borderId="12" xfId="0" applyNumberFormat="1" applyFill="1" applyBorder="1" applyAlignment="1">
      <alignment horizontal="left" vertical="top" wrapText="1"/>
    </xf>
    <xf numFmtId="49" fontId="0" fillId="0" borderId="13" xfId="0" applyNumberFormat="1" applyBorder="1" applyAlignment="1">
      <alignment horizontal="center" vertical="top" wrapText="1"/>
    </xf>
    <xf numFmtId="9" fontId="18" fillId="8" borderId="23" xfId="6" applyNumberFormat="1" applyFill="1" applyBorder="1" applyAlignment="1">
      <alignment horizontal="left" vertical="center"/>
    </xf>
    <xf numFmtId="165" fontId="0" fillId="10" borderId="31" xfId="0" applyNumberFormat="1" applyFill="1" applyBorder="1" applyAlignment="1">
      <alignment vertical="top" wrapText="1"/>
    </xf>
    <xf numFmtId="49" fontId="0" fillId="0" borderId="16" xfId="0" applyNumberFormat="1" applyBorder="1" applyAlignment="1">
      <alignment horizontal="center" vertical="top" wrapText="1"/>
    </xf>
    <xf numFmtId="0" fontId="27" fillId="14" borderId="19" xfId="0" applyFont="1" applyFill="1" applyBorder="1" applyAlignment="1">
      <alignment vertical="top" wrapText="1"/>
    </xf>
    <xf numFmtId="0" fontId="27" fillId="14" borderId="20" xfId="0" applyFont="1" applyFill="1" applyBorder="1" applyAlignment="1">
      <alignment vertical="top" wrapText="1"/>
    </xf>
    <xf numFmtId="165" fontId="0" fillId="10" borderId="13" xfId="0" applyNumberFormat="1" applyFill="1" applyBorder="1" applyAlignment="1">
      <alignment horizontal="left" vertical="top" wrapText="1"/>
    </xf>
    <xf numFmtId="165" fontId="0" fillId="10" borderId="13" xfId="0" applyNumberFormat="1" applyFill="1" applyBorder="1" applyAlignment="1">
      <alignment vertical="top" wrapText="1"/>
    </xf>
    <xf numFmtId="165" fontId="11" fillId="0" borderId="19" xfId="0" applyNumberFormat="1" applyFont="1" applyBorder="1" applyAlignment="1">
      <alignment horizontal="center" vertical="top" wrapText="1"/>
    </xf>
    <xf numFmtId="165" fontId="0" fillId="10" borderId="28" xfId="0" applyNumberFormat="1" applyFill="1" applyBorder="1" applyAlignment="1">
      <alignment vertical="top" wrapText="1"/>
    </xf>
    <xf numFmtId="165" fontId="0" fillId="10" borderId="29" xfId="0" applyNumberFormat="1" applyFill="1" applyBorder="1" applyAlignment="1">
      <alignment vertical="top" wrapText="1"/>
    </xf>
    <xf numFmtId="0" fontId="0" fillId="8" borderId="0" xfId="0" applyFill="1" applyAlignment="1">
      <alignment vertical="center" wrapText="1"/>
    </xf>
    <xf numFmtId="0" fontId="20" fillId="0" borderId="15" xfId="1" applyFont="1" applyBorder="1" applyAlignment="1">
      <alignment horizontal="right" vertical="center"/>
    </xf>
    <xf numFmtId="10" fontId="20" fillId="0" borderId="15" xfId="1" applyNumberFormat="1" applyFont="1" applyBorder="1" applyAlignment="1">
      <alignment horizontal="right" vertical="center"/>
    </xf>
    <xf numFmtId="9" fontId="18" fillId="8" borderId="15" xfId="6" applyNumberFormat="1" applyFill="1" applyBorder="1" applyAlignment="1">
      <alignment horizontal="left" vertical="center"/>
    </xf>
    <xf numFmtId="0" fontId="3" fillId="8" borderId="15" xfId="1" applyFont="1" applyFill="1" applyBorder="1" applyAlignment="1">
      <alignment horizontal="center" vertical="center"/>
    </xf>
    <xf numFmtId="10" fontId="1" fillId="8" borderId="15" xfId="1" applyNumberFormat="1" applyFill="1" applyBorder="1" applyAlignment="1">
      <alignment horizontal="center"/>
    </xf>
    <xf numFmtId="9" fontId="18" fillId="8" borderId="7" xfId="6" applyNumberFormat="1" applyFill="1" applyBorder="1" applyAlignment="1">
      <alignment horizontal="left" vertical="center"/>
    </xf>
    <xf numFmtId="0" fontId="27" fillId="14" borderId="31" xfId="0" applyFont="1" applyFill="1" applyBorder="1" applyAlignment="1">
      <alignment vertical="top" wrapText="1"/>
    </xf>
    <xf numFmtId="0" fontId="27" fillId="14" borderId="26" xfId="0" applyFont="1" applyFill="1" applyBorder="1" applyAlignment="1">
      <alignment vertical="top" wrapText="1"/>
    </xf>
    <xf numFmtId="49" fontId="0" fillId="0" borderId="18" xfId="0" applyNumberFormat="1" applyBorder="1" applyAlignment="1">
      <alignment horizontal="center" vertical="top" wrapText="1"/>
    </xf>
    <xf numFmtId="0" fontId="27" fillId="14" borderId="18" xfId="0" applyFont="1" applyFill="1" applyBorder="1" applyAlignment="1">
      <alignment horizontal="left" vertical="top" wrapText="1"/>
    </xf>
    <xf numFmtId="9" fontId="18" fillId="8" borderId="19" xfId="6" applyNumberFormat="1" applyFill="1" applyBorder="1" applyAlignment="1">
      <alignment horizontal="left" vertical="center"/>
    </xf>
    <xf numFmtId="9" fontId="18" fillId="8" borderId="26" xfId="6" applyNumberFormat="1" applyFill="1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165" fontId="31" fillId="10" borderId="1" xfId="0" applyNumberFormat="1" applyFont="1" applyFill="1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top" wrapText="1"/>
    </xf>
    <xf numFmtId="0" fontId="27" fillId="14" borderId="1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horizontal="center" vertical="top" wrapText="1"/>
    </xf>
    <xf numFmtId="165" fontId="0" fillId="10" borderId="17" xfId="0" applyNumberFormat="1" applyFill="1" applyBorder="1" applyAlignment="1">
      <alignment horizontal="center" vertical="top" wrapText="1"/>
    </xf>
    <xf numFmtId="165" fontId="0" fillId="10" borderId="1" xfId="0" applyNumberFormat="1" applyFill="1" applyBorder="1" applyAlignment="1">
      <alignment horizontal="center" vertical="top" wrapText="1"/>
    </xf>
    <xf numFmtId="0" fontId="3" fillId="8" borderId="3" xfId="1" applyFont="1" applyFill="1" applyBorder="1" applyAlignment="1">
      <alignment horizontal="left" vertical="center"/>
    </xf>
    <xf numFmtId="0" fontId="3" fillId="8" borderId="12" xfId="1" applyFont="1" applyFill="1" applyBorder="1" applyAlignment="1">
      <alignment horizontal="left" vertical="center"/>
    </xf>
    <xf numFmtId="9" fontId="18" fillId="8" borderId="6" xfId="6" applyNumberFormat="1" applyFill="1" applyBorder="1" applyAlignment="1">
      <alignment horizontal="left" vertical="center"/>
    </xf>
    <xf numFmtId="9" fontId="18" fillId="8" borderId="8" xfId="6" applyNumberFormat="1" applyFill="1" applyBorder="1" applyAlignment="1">
      <alignment horizontal="left" vertical="center"/>
    </xf>
    <xf numFmtId="9" fontId="18" fillId="0" borderId="24" xfId="6" applyNumberFormat="1" applyBorder="1" applyAlignment="1">
      <alignment horizontal="left" vertical="top"/>
    </xf>
    <xf numFmtId="9" fontId="18" fillId="0" borderId="12" xfId="6" applyNumberFormat="1" applyBorder="1" applyAlignment="1">
      <alignment horizontal="left" vertical="top"/>
    </xf>
    <xf numFmtId="0" fontId="3" fillId="8" borderId="1" xfId="1" applyFont="1" applyFill="1" applyBorder="1" applyAlignment="1">
      <alignment horizontal="center" vertical="center"/>
    </xf>
    <xf numFmtId="9" fontId="18" fillId="0" borderId="3" xfId="6" applyNumberFormat="1" applyBorder="1" applyAlignment="1">
      <alignment vertical="center"/>
    </xf>
    <xf numFmtId="0" fontId="18" fillId="0" borderId="12" xfId="6" applyBorder="1" applyAlignment="1">
      <alignment vertical="center"/>
    </xf>
    <xf numFmtId="9" fontId="18" fillId="8" borderId="3" xfId="6" applyNumberFormat="1" applyFill="1" applyBorder="1" applyAlignment="1">
      <alignment horizontal="left" vertical="center"/>
    </xf>
    <xf numFmtId="9" fontId="18" fillId="8" borderId="12" xfId="6" applyNumberForma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12" xfId="1" applyFont="1" applyFill="1" applyBorder="1" applyAlignment="1">
      <alignment horizontal="left" vertical="center"/>
    </xf>
    <xf numFmtId="15" fontId="3" fillId="8" borderId="7" xfId="1" applyNumberFormat="1" applyFont="1" applyFill="1" applyBorder="1" applyAlignment="1">
      <alignment horizontal="left" vertical="center"/>
    </xf>
    <xf numFmtId="0" fontId="3" fillId="8" borderId="6" xfId="1" applyFont="1" applyFill="1" applyBorder="1" applyAlignment="1">
      <alignment horizontal="left" vertical="center"/>
    </xf>
    <xf numFmtId="0" fontId="3" fillId="8" borderId="8" xfId="1" applyFont="1" applyFill="1" applyBorder="1" applyAlignment="1">
      <alignment horizontal="left" vertical="center"/>
    </xf>
    <xf numFmtId="0" fontId="3" fillId="8" borderId="15" xfId="1" applyFont="1" applyFill="1" applyBorder="1" applyAlignment="1">
      <alignment horizontal="center" vertical="center"/>
    </xf>
    <xf numFmtId="10" fontId="3" fillId="9" borderId="8" xfId="1" applyNumberFormat="1" applyFont="1" applyFill="1" applyBorder="1" applyAlignment="1">
      <alignment horizontal="center" vertical="center" wrapText="1"/>
    </xf>
    <xf numFmtId="10" fontId="3" fillId="9" borderId="9" xfId="1" applyNumberFormat="1" applyFont="1" applyFill="1" applyBorder="1" applyAlignment="1">
      <alignment horizontal="center" vertical="center" wrapText="1"/>
    </xf>
    <xf numFmtId="10" fontId="3" fillId="9" borderId="10" xfId="1" applyNumberFormat="1" applyFont="1" applyFill="1" applyBorder="1" applyAlignment="1">
      <alignment horizontal="center" vertical="center" wrapText="1"/>
    </xf>
    <xf numFmtId="10" fontId="15" fillId="9" borderId="6" xfId="1" applyNumberFormat="1" applyFont="1" applyFill="1" applyBorder="1" applyAlignment="1">
      <alignment horizontal="center" vertical="center"/>
    </xf>
    <xf numFmtId="10" fontId="15" fillId="9" borderId="7" xfId="1" applyNumberFormat="1" applyFont="1" applyFill="1" applyBorder="1" applyAlignment="1">
      <alignment horizontal="center" vertical="center"/>
    </xf>
    <xf numFmtId="10" fontId="15" fillId="9" borderId="0" xfId="1" applyNumberFormat="1" applyFont="1" applyFill="1" applyAlignment="1">
      <alignment horizontal="center" vertical="center"/>
    </xf>
    <xf numFmtId="10" fontId="15" fillId="9" borderId="5" xfId="1" applyNumberFormat="1" applyFont="1" applyFill="1" applyBorder="1" applyAlignment="1">
      <alignment horizontal="center" vertical="center"/>
    </xf>
    <xf numFmtId="10" fontId="15" fillId="9" borderId="2" xfId="1" applyNumberFormat="1" applyFont="1" applyFill="1" applyBorder="1" applyAlignment="1">
      <alignment horizontal="center" vertical="center"/>
    </xf>
    <xf numFmtId="9" fontId="21" fillId="11" borderId="15" xfId="6" applyNumberFormat="1" applyFont="1" applyFill="1" applyBorder="1" applyAlignment="1">
      <alignment horizontal="left" vertical="center"/>
    </xf>
    <xf numFmtId="9" fontId="18" fillId="0" borderId="12" xfId="6" applyNumberFormat="1" applyBorder="1" applyAlignment="1">
      <alignment vertical="center"/>
    </xf>
    <xf numFmtId="9" fontId="18" fillId="8" borderId="23" xfId="6" applyNumberFormat="1" applyFill="1" applyBorder="1" applyAlignment="1">
      <alignment horizontal="left" vertical="center"/>
    </xf>
    <xf numFmtId="9" fontId="18" fillId="8" borderId="19" xfId="6" applyNumberFormat="1" applyFill="1" applyBorder="1" applyAlignment="1">
      <alignment horizontal="left" vertical="center"/>
    </xf>
    <xf numFmtId="9" fontId="18" fillId="8" borderId="26" xfId="6" applyNumberFormat="1" applyFill="1" applyBorder="1" applyAlignment="1">
      <alignment horizontal="left" vertical="center"/>
    </xf>
    <xf numFmtId="0" fontId="2" fillId="8" borderId="0" xfId="1" applyFont="1" applyFill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4" fillId="8" borderId="13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0" fontId="3" fillId="8" borderId="1" xfId="1" applyNumberFormat="1" applyFont="1" applyFill="1" applyBorder="1" applyAlignment="1">
      <alignment horizontal="center" vertical="center"/>
    </xf>
    <xf numFmtId="166" fontId="3" fillId="8" borderId="3" xfId="1" applyNumberFormat="1" applyFont="1" applyFill="1" applyBorder="1" applyAlignment="1">
      <alignment horizontal="left" vertical="center"/>
    </xf>
    <xf numFmtId="166" fontId="3" fillId="8" borderId="12" xfId="1" applyNumberFormat="1" applyFont="1" applyFill="1" applyBorder="1" applyAlignment="1">
      <alignment horizontal="left" vertical="center"/>
    </xf>
    <xf numFmtId="10" fontId="3" fillId="8" borderId="1" xfId="1" applyNumberFormat="1" applyFont="1" applyFill="1" applyBorder="1" applyAlignment="1">
      <alignment horizontal="left" vertical="center"/>
    </xf>
    <xf numFmtId="15" fontId="3" fillId="8" borderId="6" xfId="1" applyNumberFormat="1" applyFont="1" applyFill="1" applyBorder="1" applyAlignment="1">
      <alignment horizontal="left" vertical="center"/>
    </xf>
    <xf numFmtId="15" fontId="3" fillId="8" borderId="8" xfId="1" applyNumberFormat="1" applyFont="1" applyFill="1" applyBorder="1" applyAlignment="1">
      <alignment horizontal="left" vertical="center"/>
    </xf>
    <xf numFmtId="0" fontId="3" fillId="8" borderId="7" xfId="1" applyFont="1" applyFill="1" applyBorder="1" applyAlignment="1">
      <alignment horizontal="left" vertical="center"/>
    </xf>
    <xf numFmtId="0" fontId="7" fillId="5" borderId="15" xfId="3" applyBorder="1" applyAlignment="1">
      <alignment horizontal="center" vertical="center" wrapText="1"/>
    </xf>
    <xf numFmtId="165" fontId="11" fillId="10" borderId="15" xfId="0" applyNumberFormat="1" applyFont="1" applyFill="1" applyBorder="1" applyAlignment="1">
      <alignment horizontal="center" vertical="top" wrapText="1"/>
    </xf>
    <xf numFmtId="165" fontId="22" fillId="10" borderId="13" xfId="0" applyNumberFormat="1" applyFont="1" applyFill="1" applyBorder="1" applyAlignment="1">
      <alignment horizontal="center" vertical="center" wrapText="1"/>
    </xf>
    <xf numFmtId="165" fontId="22" fillId="10" borderId="11" xfId="0" applyNumberFormat="1" applyFont="1" applyFill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165" fontId="22" fillId="10" borderId="15" xfId="0" applyNumberFormat="1" applyFont="1" applyFill="1" applyBorder="1" applyAlignment="1">
      <alignment horizontal="center" vertical="center" wrapText="1"/>
    </xf>
    <xf numFmtId="0" fontId="7" fillId="5" borderId="36" xfId="3" applyBorder="1" applyAlignment="1">
      <alignment horizontal="center" vertical="center" wrapText="1"/>
    </xf>
    <xf numFmtId="0" fontId="7" fillId="5" borderId="11" xfId="3" applyBorder="1" applyAlignment="1">
      <alignment horizontal="center" vertical="center" wrapText="1"/>
    </xf>
    <xf numFmtId="165" fontId="11" fillId="10" borderId="36" xfId="0" applyNumberFormat="1" applyFont="1" applyFill="1" applyBorder="1" applyAlignment="1">
      <alignment horizontal="center" vertical="top" wrapText="1"/>
    </xf>
    <xf numFmtId="165" fontId="11" fillId="10" borderId="11" xfId="0" applyNumberFormat="1" applyFont="1" applyFill="1" applyBorder="1" applyAlignment="1">
      <alignment horizontal="center" vertical="top" wrapText="1"/>
    </xf>
    <xf numFmtId="49" fontId="11" fillId="15" borderId="15" xfId="0" applyNumberFormat="1" applyFont="1" applyFill="1" applyBorder="1" applyAlignment="1">
      <alignment horizontal="center" vertical="center" wrapText="1"/>
    </xf>
    <xf numFmtId="0" fontId="27" fillId="14" borderId="15" xfId="0" applyFont="1" applyFill="1" applyBorder="1" applyAlignment="1">
      <alignment horizontal="center" vertical="center" wrapText="1"/>
    </xf>
    <xf numFmtId="9" fontId="12" fillId="3" borderId="6" xfId="0" applyNumberFormat="1" applyFont="1" applyFill="1" applyBorder="1" applyAlignment="1">
      <alignment horizontal="center" wrapText="1"/>
    </xf>
    <xf numFmtId="9" fontId="12" fillId="3" borderId="4" xfId="0" applyNumberFormat="1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165" fontId="11" fillId="2" borderId="13" xfId="0" applyNumberFormat="1" applyFont="1" applyFill="1" applyBorder="1" applyAlignment="1">
      <alignment horizontal="center" vertical="top" wrapText="1"/>
    </xf>
    <xf numFmtId="0" fontId="0" fillId="0" borderId="15" xfId="0" applyBorder="1" applyAlignment="1">
      <alignment horizontal="center" vertical="center" wrapText="1"/>
    </xf>
    <xf numFmtId="49" fontId="0" fillId="2" borderId="11" xfId="0" applyNumberFormat="1" applyFill="1" applyBorder="1" applyAlignment="1">
      <alignment horizontal="center" vertical="top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165" fontId="26" fillId="0" borderId="15" xfId="0" applyNumberFormat="1" applyFont="1" applyBorder="1" applyAlignment="1">
      <alignment horizontal="left" vertical="center" wrapText="1"/>
    </xf>
    <xf numFmtId="49" fontId="0" fillId="0" borderId="14" xfId="0" applyNumberFormat="1" applyBorder="1" applyAlignment="1">
      <alignment horizontal="center" vertical="center" wrapText="1"/>
    </xf>
    <xf numFmtId="165" fontId="33" fillId="0" borderId="15" xfId="0" applyNumberFormat="1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top" wrapText="1"/>
    </xf>
    <xf numFmtId="165" fontId="11" fillId="16" borderId="1" xfId="0" applyNumberFormat="1" applyFont="1" applyFill="1" applyBorder="1" applyAlignment="1">
      <alignment horizontal="center" vertical="top" wrapText="1"/>
    </xf>
    <xf numFmtId="165" fontId="11" fillId="16" borderId="13" xfId="0" applyNumberFormat="1" applyFont="1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top" wrapText="1"/>
    </xf>
    <xf numFmtId="165" fontId="11" fillId="17" borderId="1" xfId="0" applyNumberFormat="1" applyFont="1" applyFill="1" applyBorder="1" applyAlignment="1">
      <alignment horizontal="center" vertical="top" wrapText="1"/>
    </xf>
    <xf numFmtId="165" fontId="11" fillId="17" borderId="11" xfId="0" applyNumberFormat="1" applyFont="1" applyFill="1" applyBorder="1" applyAlignment="1">
      <alignment horizontal="center" vertical="top" wrapText="1"/>
    </xf>
    <xf numFmtId="49" fontId="0" fillId="16" borderId="19" xfId="0" applyNumberFormat="1" applyFill="1" applyBorder="1" applyAlignment="1">
      <alignment horizontal="center" vertical="center" wrapText="1"/>
    </xf>
    <xf numFmtId="49" fontId="0" fillId="16" borderId="28" xfId="0" applyNumberFormat="1" applyFill="1" applyBorder="1" applyAlignment="1">
      <alignment horizontal="center" vertical="center" wrapText="1"/>
    </xf>
    <xf numFmtId="49" fontId="0" fillId="16" borderId="26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65" fontId="22" fillId="10" borderId="1" xfId="0" applyNumberFormat="1" applyFont="1" applyFill="1" applyBorder="1" applyAlignment="1">
      <alignment horizontal="center" vertical="center" wrapText="1"/>
    </xf>
    <xf numFmtId="165" fontId="26" fillId="0" borderId="17" xfId="0" applyNumberFormat="1" applyFont="1" applyBorder="1" applyAlignment="1">
      <alignment horizontal="left" vertical="center" wrapText="1"/>
    </xf>
    <xf numFmtId="165" fontId="11" fillId="17" borderId="15" xfId="0" applyNumberFormat="1" applyFont="1" applyFill="1" applyBorder="1" applyAlignment="1">
      <alignment horizontal="center" vertical="top" wrapText="1"/>
    </xf>
    <xf numFmtId="165" fontId="26" fillId="0" borderId="16" xfId="0" applyNumberFormat="1" applyFont="1" applyBorder="1" applyAlignment="1">
      <alignment horizontal="left" vertical="center" wrapText="1"/>
    </xf>
    <xf numFmtId="49" fontId="0" fillId="2" borderId="5" xfId="0" applyNumberFormat="1" applyFill="1" applyBorder="1" applyAlignment="1">
      <alignment horizontal="center" vertical="top" wrapText="1"/>
    </xf>
    <xf numFmtId="49" fontId="0" fillId="2" borderId="2" xfId="0" applyNumberFormat="1" applyFill="1" applyBorder="1" applyAlignment="1">
      <alignment horizontal="center" vertical="top" wrapText="1"/>
    </xf>
    <xf numFmtId="49" fontId="0" fillId="2" borderId="10" xfId="0" applyNumberFormat="1" applyFill="1" applyBorder="1" applyAlignment="1">
      <alignment horizontal="center" vertical="top" wrapText="1"/>
    </xf>
    <xf numFmtId="165" fontId="11" fillId="10" borderId="17" xfId="0" applyNumberFormat="1" applyFont="1" applyFill="1" applyBorder="1" applyAlignment="1">
      <alignment horizontal="center" vertical="top" wrapText="1"/>
    </xf>
    <xf numFmtId="165" fontId="11" fillId="10" borderId="18" xfId="0" applyNumberFormat="1" applyFont="1" applyFill="1" applyBorder="1" applyAlignment="1">
      <alignment horizontal="center" vertical="top" wrapText="1"/>
    </xf>
    <xf numFmtId="165" fontId="22" fillId="10" borderId="16" xfId="0" applyNumberFormat="1" applyFont="1" applyFill="1" applyBorder="1" applyAlignment="1">
      <alignment horizontal="center" vertical="center" wrapText="1"/>
    </xf>
    <xf numFmtId="165" fontId="22" fillId="10" borderId="18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5" fontId="31" fillId="10" borderId="1" xfId="0" applyNumberFormat="1" applyFont="1" applyFill="1" applyBorder="1" applyAlignment="1">
      <alignment horizontal="center" vertical="center" wrapText="1"/>
    </xf>
    <xf numFmtId="165" fontId="22" fillId="10" borderId="19" xfId="0" applyNumberFormat="1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/>
    </xf>
    <xf numFmtId="165" fontId="11" fillId="10" borderId="13" xfId="0" applyNumberFormat="1" applyFont="1" applyFill="1" applyBorder="1" applyAlignment="1">
      <alignment horizontal="center" vertical="top" wrapText="1"/>
    </xf>
    <xf numFmtId="165" fontId="11" fillId="10" borderId="14" xfId="0" applyNumberFormat="1" applyFont="1" applyFill="1" applyBorder="1" applyAlignment="1">
      <alignment horizontal="center" vertical="top" wrapText="1"/>
    </xf>
    <xf numFmtId="0" fontId="30" fillId="0" borderId="15" xfId="0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165" fontId="11" fillId="10" borderId="26" xfId="0" applyNumberFormat="1" applyFont="1" applyFill="1" applyBorder="1" applyAlignment="1">
      <alignment horizontal="center" vertical="top" wrapText="1"/>
    </xf>
    <xf numFmtId="165" fontId="22" fillId="10" borderId="17" xfId="0" applyNumberFormat="1" applyFont="1" applyFill="1" applyBorder="1" applyAlignment="1">
      <alignment horizontal="center" vertical="center" wrapText="1"/>
    </xf>
    <xf numFmtId="165" fontId="22" fillId="10" borderId="21" xfId="0" applyNumberFormat="1" applyFont="1" applyFill="1" applyBorder="1" applyAlignment="1">
      <alignment horizontal="center" vertical="center" wrapText="1"/>
    </xf>
    <xf numFmtId="165" fontId="22" fillId="10" borderId="20" xfId="0" applyNumberFormat="1" applyFont="1" applyFill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165" fontId="22" fillId="10" borderId="14" xfId="0" applyNumberFormat="1" applyFont="1" applyFill="1" applyBorder="1" applyAlignment="1">
      <alignment horizontal="center" vertical="center" wrapText="1"/>
    </xf>
    <xf numFmtId="165" fontId="31" fillId="10" borderId="15" xfId="0" applyNumberFormat="1" applyFont="1" applyFill="1" applyBorder="1" applyAlignment="1">
      <alignment horizontal="center" vertical="center" wrapText="1"/>
    </xf>
    <xf numFmtId="165" fontId="11" fillId="10" borderId="16" xfId="0" applyNumberFormat="1" applyFont="1" applyFill="1" applyBorder="1" applyAlignment="1">
      <alignment horizontal="center" vertical="top" wrapText="1"/>
    </xf>
    <xf numFmtId="49" fontId="11" fillId="1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left" vertical="center" wrapText="1"/>
    </xf>
    <xf numFmtId="165" fontId="11" fillId="17" borderId="3" xfId="0" applyNumberFormat="1" applyFont="1" applyFill="1" applyBorder="1" applyAlignment="1">
      <alignment horizontal="center" vertical="top" wrapText="1"/>
    </xf>
    <xf numFmtId="165" fontId="11" fillId="17" borderId="23" xfId="0" applyNumberFormat="1" applyFont="1" applyFill="1" applyBorder="1" applyAlignment="1">
      <alignment horizontal="center" vertical="top" wrapText="1"/>
    </xf>
    <xf numFmtId="165" fontId="11" fillId="17" borderId="7" xfId="0" applyNumberFormat="1" applyFont="1" applyFill="1" applyBorder="1" applyAlignment="1">
      <alignment horizontal="center" vertical="top" wrapText="1"/>
    </xf>
    <xf numFmtId="165" fontId="11" fillId="17" borderId="8" xfId="0" applyNumberFormat="1" applyFont="1" applyFill="1" applyBorder="1" applyAlignment="1">
      <alignment horizontal="center" vertical="top" wrapText="1"/>
    </xf>
    <xf numFmtId="165" fontId="26" fillId="0" borderId="15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165" fontId="34" fillId="0" borderId="15" xfId="0" applyNumberFormat="1" applyFont="1" applyBorder="1" applyAlignment="1">
      <alignment horizontal="left" vertical="center" wrapText="1"/>
    </xf>
    <xf numFmtId="49" fontId="0" fillId="16" borderId="20" xfId="0" applyNumberFormat="1" applyFill="1" applyBorder="1" applyAlignment="1">
      <alignment horizontal="center" vertical="center" wrapText="1"/>
    </xf>
    <xf numFmtId="49" fontId="0" fillId="16" borderId="29" xfId="0" applyNumberFormat="1" applyFill="1" applyBorder="1" applyAlignment="1">
      <alignment horizontal="center" vertical="center" wrapText="1"/>
    </xf>
    <xf numFmtId="49" fontId="0" fillId="16" borderId="31" xfId="0" applyNumberFormat="1" applyFill="1" applyBorder="1" applyAlignment="1">
      <alignment horizontal="center" vertical="center" wrapText="1"/>
    </xf>
    <xf numFmtId="49" fontId="0" fillId="0" borderId="30" xfId="0" applyNumberFormat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49" fontId="0" fillId="16" borderId="4" xfId="0" applyNumberFormat="1" applyFill="1" applyBorder="1" applyAlignment="1">
      <alignment horizontal="center" vertical="center" wrapText="1"/>
    </xf>
    <xf numFmtId="49" fontId="0" fillId="16" borderId="0" xfId="0" applyNumberFormat="1" applyFill="1" applyAlignment="1">
      <alignment horizontal="center" vertical="center" wrapText="1"/>
    </xf>
    <xf numFmtId="49" fontId="0" fillId="16" borderId="9" xfId="0" applyNumberFormat="1" applyFill="1" applyBorder="1" applyAlignment="1">
      <alignment horizontal="center" vertical="center" wrapText="1"/>
    </xf>
    <xf numFmtId="49" fontId="0" fillId="16" borderId="6" xfId="0" applyNumberFormat="1" applyFill="1" applyBorder="1" applyAlignment="1">
      <alignment horizontal="center" vertical="center" wrapText="1"/>
    </xf>
    <xf numFmtId="49" fontId="0" fillId="16" borderId="7" xfId="0" applyNumberFormat="1" applyFill="1" applyBorder="1" applyAlignment="1">
      <alignment horizontal="center" vertical="center" wrapText="1"/>
    </xf>
    <xf numFmtId="49" fontId="0" fillId="16" borderId="8" xfId="0" applyNumberFormat="1" applyFill="1" applyBorder="1" applyAlignment="1">
      <alignment horizontal="center" vertical="center" wrapText="1"/>
    </xf>
    <xf numFmtId="165" fontId="11" fillId="17" borderId="16" xfId="0" applyNumberFormat="1" applyFont="1" applyFill="1" applyBorder="1" applyAlignment="1">
      <alignment horizontal="center" vertical="top" wrapText="1"/>
    </xf>
    <xf numFmtId="165" fontId="26" fillId="0" borderId="14" xfId="0" applyNumberFormat="1" applyFont="1" applyBorder="1" applyAlignment="1">
      <alignment horizontal="left" vertical="center" wrapText="1"/>
    </xf>
    <xf numFmtId="165" fontId="26" fillId="0" borderId="13" xfId="0" applyNumberFormat="1" applyFont="1" applyBorder="1" applyAlignment="1">
      <alignment horizontal="left" vertical="center" wrapText="1"/>
    </xf>
    <xf numFmtId="49" fontId="0" fillId="0" borderId="33" xfId="0" applyNumberFormat="1" applyBorder="1" applyAlignment="1">
      <alignment horizontal="center" vertical="center" wrapText="1"/>
    </xf>
    <xf numFmtId="49" fontId="0" fillId="0" borderId="34" xfId="0" applyNumberFormat="1" applyBorder="1" applyAlignment="1">
      <alignment horizontal="center" vertical="center" wrapText="1"/>
    </xf>
    <xf numFmtId="165" fontId="31" fillId="10" borderId="17" xfId="0" applyNumberFormat="1" applyFont="1" applyFill="1" applyBorder="1" applyAlignment="1">
      <alignment horizontal="center" vertical="center" wrapText="1"/>
    </xf>
    <xf numFmtId="165" fontId="31" fillId="10" borderId="18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165" fontId="31" fillId="10" borderId="20" xfId="0" applyNumberFormat="1" applyFont="1" applyFill="1" applyBorder="1" applyAlignment="1">
      <alignment horizontal="center" vertical="center" wrapText="1"/>
    </xf>
    <xf numFmtId="165" fontId="31" fillId="10" borderId="22" xfId="0" applyNumberFormat="1" applyFont="1" applyFill="1" applyBorder="1" applyAlignment="1">
      <alignment horizontal="center" vertical="center" wrapText="1"/>
    </xf>
    <xf numFmtId="165" fontId="31" fillId="10" borderId="13" xfId="0" applyNumberFormat="1" applyFont="1" applyFill="1" applyBorder="1" applyAlignment="1">
      <alignment horizontal="center" vertical="center" wrapText="1"/>
    </xf>
    <xf numFmtId="165" fontId="31" fillId="10" borderId="6" xfId="0" applyNumberFormat="1" applyFont="1" applyFill="1" applyBorder="1" applyAlignment="1">
      <alignment horizontal="center" vertical="center" wrapText="1"/>
    </xf>
    <xf numFmtId="165" fontId="31" fillId="10" borderId="4" xfId="0" applyNumberFormat="1" applyFont="1" applyFill="1" applyBorder="1" applyAlignment="1">
      <alignment horizontal="center" vertical="center" wrapText="1"/>
    </xf>
    <xf numFmtId="165" fontId="11" fillId="10" borderId="17" xfId="0" applyNumberFormat="1" applyFont="1" applyFill="1" applyBorder="1" applyAlignment="1">
      <alignment horizontal="left" vertical="top" wrapText="1"/>
    </xf>
    <xf numFmtId="165" fontId="11" fillId="10" borderId="18" xfId="0" applyNumberFormat="1" applyFont="1" applyFill="1" applyBorder="1" applyAlignment="1">
      <alignment horizontal="left" vertical="top" wrapText="1"/>
    </xf>
    <xf numFmtId="165" fontId="11" fillId="10" borderId="16" xfId="0" applyNumberFormat="1" applyFont="1" applyFill="1" applyBorder="1" applyAlignment="1">
      <alignment horizontal="left" vertical="top" wrapText="1"/>
    </xf>
    <xf numFmtId="165" fontId="31" fillId="10" borderId="11" xfId="0" applyNumberFormat="1" applyFont="1" applyFill="1" applyBorder="1" applyAlignment="1">
      <alignment horizontal="center" vertical="center" wrapText="1"/>
    </xf>
    <xf numFmtId="165" fontId="31" fillId="10" borderId="16" xfId="0" applyNumberFormat="1" applyFont="1" applyFill="1" applyBorder="1" applyAlignment="1">
      <alignment horizontal="center" vertical="center" wrapText="1"/>
    </xf>
    <xf numFmtId="165" fontId="31" fillId="10" borderId="33" xfId="0" applyNumberFormat="1" applyFont="1" applyFill="1" applyBorder="1" applyAlignment="1">
      <alignment horizontal="center" vertical="center" wrapText="1"/>
    </xf>
    <xf numFmtId="165" fontId="31" fillId="10" borderId="35" xfId="0" applyNumberFormat="1" applyFont="1" applyFill="1" applyBorder="1" applyAlignment="1">
      <alignment horizontal="center" vertical="center" wrapText="1"/>
    </xf>
    <xf numFmtId="165" fontId="32" fillId="10" borderId="15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11" fillId="10" borderId="27" xfId="0" applyNumberFormat="1" applyFont="1" applyFill="1" applyBorder="1" applyAlignment="1">
      <alignment horizontal="center" vertical="top" wrapText="1"/>
    </xf>
    <xf numFmtId="165" fontId="11" fillId="10" borderId="15" xfId="0" applyNumberFormat="1" applyFont="1" applyFill="1" applyBorder="1" applyAlignment="1">
      <alignment horizontal="left" vertical="top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165" fontId="11" fillId="2" borderId="6" xfId="0" applyNumberFormat="1" applyFont="1" applyFill="1" applyBorder="1" applyAlignment="1">
      <alignment horizontal="center" vertical="top" wrapText="1"/>
    </xf>
    <xf numFmtId="165" fontId="11" fillId="2" borderId="7" xfId="0" applyNumberFormat="1" applyFont="1" applyFill="1" applyBorder="1" applyAlignment="1">
      <alignment horizontal="center" vertical="top" wrapText="1"/>
    </xf>
    <xf numFmtId="165" fontId="11" fillId="2" borderId="8" xfId="0" applyNumberFormat="1" applyFont="1" applyFill="1" applyBorder="1" applyAlignment="1">
      <alignment horizontal="center" vertical="top" wrapText="1"/>
    </xf>
    <xf numFmtId="0" fontId="0" fillId="0" borderId="20" xfId="0" applyBorder="1" applyAlignment="1">
      <alignment horizontal="center" vertical="center" wrapText="1"/>
    </xf>
    <xf numFmtId="165" fontId="31" fillId="10" borderId="19" xfId="0" applyNumberFormat="1" applyFont="1" applyFill="1" applyBorder="1" applyAlignment="1">
      <alignment horizontal="center" vertical="center" wrapText="1"/>
    </xf>
    <xf numFmtId="165" fontId="11" fillId="17" borderId="2" xfId="0" applyNumberFormat="1" applyFont="1" applyFill="1" applyBorder="1" applyAlignment="1">
      <alignment horizontal="center" vertical="top" wrapText="1"/>
    </xf>
    <xf numFmtId="165" fontId="11" fillId="17" borderId="5" xfId="0" applyNumberFormat="1" applyFont="1" applyFill="1" applyBorder="1" applyAlignment="1">
      <alignment horizontal="center" vertical="top" wrapText="1"/>
    </xf>
    <xf numFmtId="164" fontId="13" fillId="8" borderId="0" xfId="0" applyNumberFormat="1" applyFont="1" applyFill="1" applyAlignment="1">
      <alignment horizontal="center" vertical="center"/>
    </xf>
  </cellXfs>
  <cellStyles count="7">
    <cellStyle name="Accent5" xfId="5" builtinId="45"/>
    <cellStyle name="Bad" xfId="3" builtinId="27"/>
    <cellStyle name="Good" xfId="2" builtinId="26"/>
    <cellStyle name="Hyperlink" xfId="6" builtinId="8"/>
    <cellStyle name="Neutral" xfId="4" builtinId="28"/>
    <cellStyle name="Normal" xfId="0" builtinId="0"/>
    <cellStyle name="Normal 2" xfId="1" xr:uid="{00000000-0005-0000-0000-000006000000}"/>
  </cellStyles>
  <dxfs count="47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CCBBEB"/>
      <color rgb="FFC9A4E4"/>
      <color rgb="FF9C7AD8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233206</xdr:colOff>
      <xdr:row>0</xdr:row>
      <xdr:rowOff>9525</xdr:rowOff>
    </xdr:from>
    <xdr:to>
      <xdr:col>2</xdr:col>
      <xdr:colOff>391441</xdr:colOff>
      <xdr:row>1</xdr:row>
      <xdr:rowOff>373390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6CE22A-E6CA-49ED-B391-E285DB98B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0856" y="9525"/>
          <a:ext cx="923410" cy="7702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%20-%20PT.%20PRIMA%20VISTA%20SOLUSI\project\13.POS\Test_Script_POS_BackOffice_formerchant_v1.0.xlsx" TargetMode="External"/><Relationship Id="rId1" Type="http://schemas.openxmlformats.org/officeDocument/2006/relationships/externalLinkPath" Target="https://primavistasolusi-my.sharepoint.com/Users/User/OneDrive%20-%20PT.%20PRIMA%20VISTA%20SOLUSI/project/13.P2018.034-POS/Scenario%20test/sprint1/Test_Script_POS_BackOffice_formerchant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imavistasolusi-my.sharepoint.com/Users/User/OneDrive%20-%20PT.%20PRIMA%20VISTA%20SOLUSI/project/13.P2.18..34-POS/Scenario%20test/sprint1/Test_Script_POS_BackOffice_formerchant_v1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ogin"/>
      <sheetName val="Dashboard"/>
      <sheetName val="Transaction"/>
      <sheetName val="Merchant"/>
      <sheetName val="Store"/>
      <sheetName val="SalesMode"/>
      <sheetName val="Table"/>
      <sheetName val="Product_Category"/>
      <sheetName val="Product"/>
      <sheetName val="Product_option"/>
      <sheetName val="Trx_Config"/>
      <sheetName val="Approval_product"/>
      <sheetName val="Audit_Trail"/>
      <sheetName val="Report"/>
      <sheetName val="User_setup"/>
      <sheetName val="Subgroup_setup"/>
      <sheetName val="Group_setup"/>
      <sheetName val="Package_setup"/>
      <sheetName val="Feature"/>
      <sheetName val="Privilege"/>
      <sheetName val="Revision History"/>
    </sheetNames>
    <sheetDataSet>
      <sheetData sheetId="0">
        <row r="3">
          <cell r="B3" t="str">
            <v xml:space="preserve">Project Name </v>
          </cell>
        </row>
        <row r="11">
          <cell r="B11" t="str">
            <v>TC01 Login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W421"/>
  <sheetViews>
    <sheetView showGridLines="0" topLeftCell="A8" zoomScaleNormal="100" workbookViewId="0">
      <selection activeCell="C20" sqref="C20"/>
    </sheetView>
  </sheetViews>
  <sheetFormatPr defaultColWidth="28.26953125" defaultRowHeight="14"/>
  <cols>
    <col min="1" max="1" width="3.7265625" style="1" customWidth="1"/>
    <col min="2" max="2" width="11.453125" style="3" customWidth="1"/>
    <col min="3" max="3" width="24.26953125" style="2" bestFit="1" customWidth="1"/>
    <col min="4" max="6" width="7.7265625" style="2" customWidth="1"/>
    <col min="7" max="7" width="7.81640625" style="2" customWidth="1"/>
    <col min="8" max="8" width="12.54296875" style="46" customWidth="1"/>
    <col min="9" max="9" width="7.7265625" style="2" customWidth="1"/>
    <col min="10" max="10" width="13.7265625" style="2" customWidth="1"/>
    <col min="11" max="11" width="7.7265625" style="2" customWidth="1"/>
    <col min="12" max="12" width="8.54296875" style="2" bestFit="1" customWidth="1"/>
    <col min="13" max="13" width="7.7265625" style="2" customWidth="1"/>
    <col min="14" max="14" width="10" style="2" customWidth="1"/>
    <col min="15" max="15" width="13.453125" style="3" customWidth="1"/>
    <col min="16" max="257" width="28.26953125" style="2" customWidth="1"/>
    <col min="258" max="16384" width="28.26953125" style="1"/>
  </cols>
  <sheetData>
    <row r="1" spans="1:257" ht="32.25" customHeight="1">
      <c r="A1" s="7"/>
      <c r="B1" s="8"/>
      <c r="C1" s="8"/>
      <c r="D1" s="8"/>
      <c r="E1" s="8"/>
      <c r="F1" s="8"/>
      <c r="G1" s="8"/>
      <c r="H1" s="4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</row>
    <row r="2" spans="1:257" ht="30" customHeight="1">
      <c r="A2" s="7"/>
      <c r="B2" s="251" t="s">
        <v>0</v>
      </c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34"/>
      <c r="O2" s="9"/>
      <c r="P2" s="9"/>
      <c r="Q2" s="9"/>
      <c r="R2" s="9"/>
      <c r="S2" s="9"/>
      <c r="T2" s="9"/>
      <c r="U2" s="9"/>
      <c r="V2" s="9"/>
      <c r="W2" s="9"/>
      <c r="IW2" s="1"/>
    </row>
    <row r="3" spans="1:257">
      <c r="A3" s="9"/>
      <c r="B3" s="252" t="s">
        <v>1</v>
      </c>
      <c r="C3" s="252"/>
      <c r="D3" s="252"/>
      <c r="E3" s="253"/>
      <c r="F3" s="78"/>
      <c r="G3" s="221" t="s">
        <v>2</v>
      </c>
      <c r="H3" s="222"/>
      <c r="I3" s="221" t="s">
        <v>3</v>
      </c>
      <c r="J3" s="222"/>
      <c r="K3" s="221" t="s">
        <v>4</v>
      </c>
      <c r="L3" s="222"/>
      <c r="M3" s="258">
        <v>45279</v>
      </c>
      <c r="N3" s="259"/>
      <c r="O3" s="9"/>
      <c r="P3" s="9"/>
      <c r="Q3" s="9"/>
      <c r="R3" s="9"/>
      <c r="S3" s="9"/>
      <c r="T3" s="9"/>
      <c r="U3" s="9"/>
      <c r="V3" s="9"/>
      <c r="W3" s="9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>
      <c r="A4" s="9"/>
      <c r="B4" s="254" t="s">
        <v>5</v>
      </c>
      <c r="C4" s="254"/>
      <c r="D4" s="42" t="s">
        <v>6</v>
      </c>
      <c r="E4" s="43" t="s">
        <v>7</v>
      </c>
      <c r="F4" s="70"/>
      <c r="G4" s="235" t="s">
        <v>8</v>
      </c>
      <c r="H4" s="236"/>
      <c r="I4" s="261">
        <v>45013</v>
      </c>
      <c r="J4" s="262"/>
      <c r="K4" s="221" t="s">
        <v>9</v>
      </c>
      <c r="L4" s="222"/>
      <c r="M4" s="260">
        <v>0</v>
      </c>
      <c r="N4" s="260"/>
      <c r="O4" s="9"/>
      <c r="P4" s="9"/>
      <c r="Q4" s="9"/>
      <c r="R4" s="9"/>
      <c r="S4" s="9"/>
      <c r="T4" s="9"/>
      <c r="U4" s="9"/>
      <c r="V4" s="9"/>
      <c r="W4" s="9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>
      <c r="A5" s="9"/>
      <c r="B5" s="254" t="s">
        <v>10</v>
      </c>
      <c r="C5" s="254"/>
      <c r="D5" s="42" t="s">
        <v>11</v>
      </c>
      <c r="E5" s="43" t="s">
        <v>7</v>
      </c>
      <c r="F5" s="70"/>
      <c r="G5" s="263"/>
      <c r="H5" s="263"/>
      <c r="I5" s="234"/>
      <c r="J5" s="234"/>
      <c r="K5" s="221" t="s">
        <v>12</v>
      </c>
      <c r="L5" s="222"/>
      <c r="M5" s="258">
        <f ca="1">NOW()</f>
        <v>46056.490208564814</v>
      </c>
      <c r="N5" s="259"/>
      <c r="O5" s="9"/>
      <c r="P5" s="9"/>
      <c r="Q5" s="9"/>
      <c r="R5" s="9"/>
      <c r="S5" s="9"/>
      <c r="T5" s="9"/>
      <c r="U5" s="9"/>
      <c r="V5" s="9"/>
      <c r="W5" s="9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>
      <c r="A6" s="9"/>
      <c r="B6" s="9"/>
      <c r="C6" s="9"/>
      <c r="D6" s="9"/>
      <c r="E6" s="9"/>
      <c r="F6" s="9"/>
      <c r="G6" s="9"/>
      <c r="H6" s="35"/>
      <c r="I6" s="9"/>
      <c r="J6" s="9"/>
      <c r="K6" s="221" t="s">
        <v>13</v>
      </c>
      <c r="L6" s="222"/>
      <c r="M6" s="260">
        <f>E28</f>
        <v>0</v>
      </c>
      <c r="N6" s="260"/>
      <c r="O6" s="9"/>
      <c r="P6" s="9"/>
      <c r="Q6" s="9"/>
      <c r="R6" s="9"/>
      <c r="S6" s="9"/>
      <c r="T6" s="9"/>
      <c r="U6" s="9"/>
      <c r="V6" s="9"/>
      <c r="W6" s="9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>
      <c r="A7" s="9"/>
      <c r="B7" s="9"/>
      <c r="C7" s="9"/>
      <c r="D7" s="9"/>
      <c r="E7" s="9"/>
      <c r="F7" s="9"/>
      <c r="G7" s="9"/>
      <c r="H7" s="35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spans="1:257" ht="15" customHeight="1">
      <c r="A8" s="9"/>
      <c r="B8" s="227" t="s">
        <v>14</v>
      </c>
      <c r="C8" s="227"/>
      <c r="D8" s="256" t="s">
        <v>15</v>
      </c>
      <c r="E8" s="255" t="s">
        <v>16</v>
      </c>
      <c r="F8" s="255" t="s">
        <v>17</v>
      </c>
      <c r="G8" s="255" t="s">
        <v>18</v>
      </c>
      <c r="H8" s="257" t="s">
        <v>19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spans="1:257" ht="15" customHeight="1">
      <c r="A9" s="9"/>
      <c r="B9" s="227"/>
      <c r="C9" s="227"/>
      <c r="D9" s="256"/>
      <c r="E9" s="255"/>
      <c r="F9" s="255"/>
      <c r="G9" s="227"/>
      <c r="H9" s="257"/>
      <c r="I9" s="41"/>
      <c r="Q9" s="9"/>
      <c r="R9" s="9"/>
      <c r="S9" s="9"/>
      <c r="T9" s="9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spans="1:257" ht="4.5" customHeight="1">
      <c r="A10" s="9"/>
      <c r="B10" s="232"/>
      <c r="C10" s="233"/>
      <c r="D10" s="44"/>
      <c r="E10" s="44"/>
      <c r="F10" s="44"/>
      <c r="G10" s="44"/>
      <c r="H10" s="36"/>
      <c r="I10" s="9"/>
      <c r="Q10" s="9"/>
      <c r="R10" s="9"/>
      <c r="S10" s="9"/>
      <c r="T10" s="9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spans="1:257" ht="15" customHeight="1">
      <c r="A11" s="9" t="s">
        <v>20</v>
      </c>
      <c r="B11" s="228" t="s">
        <v>21</v>
      </c>
      <c r="C11" s="229"/>
      <c r="D11" s="64">
        <f>SUM(Login!O3:O3)</f>
        <v>0</v>
      </c>
      <c r="E11" s="64">
        <f>SUM(Login!$O$4:$O$4)</f>
        <v>0</v>
      </c>
      <c r="F11" s="64">
        <f>SUM(Login!$O$5:$O$5)</f>
        <v>0</v>
      </c>
      <c r="G11" s="64">
        <f>SUM(Login!$O$7:$O$7)</f>
        <v>11</v>
      </c>
      <c r="H11" s="65">
        <f>(D11+E11+F11)/G11</f>
        <v>0</v>
      </c>
      <c r="I11" s="9"/>
      <c r="Q11" s="9"/>
      <c r="R11" s="9"/>
      <c r="S11" s="9"/>
      <c r="T11" s="9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spans="1:257" ht="15" customHeight="1">
      <c r="A12" s="9"/>
      <c r="B12" s="228" t="s">
        <v>22</v>
      </c>
      <c r="C12" s="247"/>
      <c r="D12" s="64">
        <f>SUM(Profile!$O$3:$O$3)</f>
        <v>0</v>
      </c>
      <c r="E12" s="64">
        <f>SUM(Profile!$O$4:$O$4)</f>
        <v>0</v>
      </c>
      <c r="F12" s="64">
        <f>SUM(Profile!$O$5:$O$5)</f>
        <v>0</v>
      </c>
      <c r="G12" s="64">
        <f>SUM(Profile!$O$7:$O$7)</f>
        <v>8</v>
      </c>
      <c r="H12" s="65">
        <f>(D12+E12+F12)/G12</f>
        <v>0</v>
      </c>
      <c r="I12" s="9"/>
      <c r="Q12" s="9"/>
      <c r="R12" s="9"/>
      <c r="S12" s="9"/>
      <c r="T12" s="9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spans="1:257" ht="15" customHeight="1">
      <c r="A13" s="9"/>
      <c r="B13" s="225" t="s">
        <v>23</v>
      </c>
      <c r="C13" s="226"/>
      <c r="D13" s="64">
        <f>SUM(Order!$O$3:$O$3)</f>
        <v>0</v>
      </c>
      <c r="E13" s="64">
        <f>SUM(Order!$O$4:$O$4)</f>
        <v>0</v>
      </c>
      <c r="F13" s="64">
        <f>SUM(Order!$O$5:$O$5)</f>
        <v>0</v>
      </c>
      <c r="G13" s="64">
        <f>SUM(Order!$O$7:$O$7)</f>
        <v>23</v>
      </c>
      <c r="H13" s="65">
        <f t="shared" ref="H13" si="0">(D13+E13+F13)/G13</f>
        <v>0</v>
      </c>
      <c r="I13" s="9"/>
      <c r="Q13" s="9"/>
      <c r="R13" s="9"/>
      <c r="S13" s="9"/>
      <c r="T13" s="9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spans="1:257" ht="15" customHeight="1">
      <c r="A14" s="9"/>
      <c r="B14" s="230" t="s">
        <v>24</v>
      </c>
      <c r="C14" s="231"/>
      <c r="D14" s="64">
        <f>SUM(Product!$O$3:$O$3)</f>
        <v>0</v>
      </c>
      <c r="E14" s="64">
        <f>SUM(Product!$O$4:$O$4)</f>
        <v>0</v>
      </c>
      <c r="F14" s="64">
        <f>SUM(Product!$O$5:$O$5)</f>
        <v>0</v>
      </c>
      <c r="G14" s="64">
        <f>SUM(Product!$O$7:$O$7)</f>
        <v>22</v>
      </c>
      <c r="H14" s="65">
        <f t="shared" ref="H14:H17" si="1">(D14+E14+F14)/G14</f>
        <v>0</v>
      </c>
      <c r="I14" s="9"/>
      <c r="Q14" s="9"/>
      <c r="R14" s="9"/>
      <c r="S14" s="9"/>
      <c r="T14" s="9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spans="1:257" ht="15" customHeight="1">
      <c r="A15" s="9"/>
      <c r="B15" s="141" t="s">
        <v>25</v>
      </c>
      <c r="C15" s="142"/>
      <c r="D15" s="64">
        <f>SUM(printer!$O$3:$O$3)</f>
        <v>0</v>
      </c>
      <c r="E15" s="64">
        <f>SUM(printer!$O$4:$O$4)</f>
        <v>0</v>
      </c>
      <c r="F15" s="64">
        <f>SUM(printer!$O$5:$O$5)</f>
        <v>0</v>
      </c>
      <c r="G15" s="64">
        <f>SUM(printer!$O$7:$O$7)</f>
        <v>8</v>
      </c>
      <c r="H15" s="65">
        <f>(D15+E15+F15)/G15</f>
        <v>0</v>
      </c>
      <c r="I15" s="9"/>
      <c r="Q15" s="9"/>
      <c r="R15" s="9"/>
      <c r="S15" s="9"/>
      <c r="T15" s="9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spans="1:257" ht="15" customHeight="1">
      <c r="A16" s="9"/>
      <c r="B16" s="223" t="s">
        <v>26</v>
      </c>
      <c r="C16" s="224"/>
      <c r="D16" s="64">
        <f>SUM(Promo_product!$O$3:$O$3)</f>
        <v>0</v>
      </c>
      <c r="E16" s="64">
        <f>SUM(Promo_product!$O$4:$O$4)</f>
        <v>0</v>
      </c>
      <c r="F16" s="64">
        <f>SUM(Promo_product!$O$5:$O$5)</f>
        <v>0</v>
      </c>
      <c r="G16" s="64">
        <f>SUM(Promo_product!$O$7:$O$7)</f>
        <v>23</v>
      </c>
      <c r="H16" s="65">
        <f>(D16+E16+F16)/G16</f>
        <v>0</v>
      </c>
      <c r="I16" s="9"/>
      <c r="Q16" s="9"/>
      <c r="R16" s="9"/>
      <c r="S16" s="9"/>
      <c r="T16" s="9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spans="1:257" ht="15" customHeight="1">
      <c r="A17" s="9"/>
      <c r="B17" s="223" t="s">
        <v>27</v>
      </c>
      <c r="C17" s="224"/>
      <c r="D17" s="64">
        <f>SUM(Shift_log_list!$O$3:$O$3)</f>
        <v>0</v>
      </c>
      <c r="E17" s="64">
        <f>SUM(Shift_log_list!$O$4:$O$4)</f>
        <v>0</v>
      </c>
      <c r="F17" s="64">
        <f>SUM(Shift_log_list!$O$5:$O$5)</f>
        <v>0</v>
      </c>
      <c r="G17" s="64">
        <f>SUM(Shift_log_list!$O$7:$O$7)</f>
        <v>8</v>
      </c>
      <c r="H17" s="65">
        <f t="shared" si="1"/>
        <v>0</v>
      </c>
      <c r="I17" s="9"/>
      <c r="Q17" s="9"/>
      <c r="R17" s="9"/>
      <c r="S17" s="9"/>
      <c r="T17" s="9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spans="1:257" ht="15" customHeight="1">
      <c r="A18" s="9"/>
      <c r="B18" s="223" t="s">
        <v>28</v>
      </c>
      <c r="C18" s="224"/>
      <c r="D18" s="64">
        <f>SUM(Product_Management!$O$3:$O$3)</f>
        <v>0</v>
      </c>
      <c r="E18" s="64">
        <f>SUM(Product_Management!$O$4:$O$4)</f>
        <v>0</v>
      </c>
      <c r="F18" s="64">
        <f>SUM(Product_Management!$O$5:$O$5)</f>
        <v>0</v>
      </c>
      <c r="G18" s="64">
        <f>SUM(Product_Management!$O$7:$O$7)</f>
        <v>6</v>
      </c>
      <c r="H18" s="65">
        <f t="shared" ref="H18:H24" si="2">(D18+E18+F18)/G18</f>
        <v>0</v>
      </c>
      <c r="I18" s="9"/>
      <c r="Q18" s="9"/>
      <c r="R18" s="9"/>
      <c r="S18" s="9"/>
      <c r="T18" s="9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spans="1:257" ht="15" customHeight="1">
      <c r="A19" s="9"/>
      <c r="B19" s="230" t="s">
        <v>29</v>
      </c>
      <c r="C19" s="248"/>
      <c r="D19" s="64">
        <f>SUM(compliment!$O$3:$O$3)</f>
        <v>0</v>
      </c>
      <c r="E19" s="64">
        <f>SUM(compliment!$O$4:$O$4)</f>
        <v>0</v>
      </c>
      <c r="F19" s="64">
        <f>SUM(compliment!$O$5:$O$5)</f>
        <v>0</v>
      </c>
      <c r="G19" s="64">
        <f>SUM(compliment!$O$7:$O$7)</f>
        <v>1</v>
      </c>
      <c r="H19" s="65">
        <f t="shared" si="2"/>
        <v>0</v>
      </c>
      <c r="I19" s="9"/>
      <c r="Q19" s="9"/>
      <c r="R19" s="9"/>
      <c r="S19" s="9"/>
      <c r="T19" s="9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spans="1:257" ht="15" customHeight="1">
      <c r="A20" s="9"/>
      <c r="B20" s="163" t="s">
        <v>30</v>
      </c>
      <c r="C20" s="186"/>
      <c r="D20" s="64">
        <f>SUM(daily_report!$O$3:$O$3)</f>
        <v>0</v>
      </c>
      <c r="E20" s="64">
        <f>SUM(daily_report!$O$4:$O$4)</f>
        <v>0</v>
      </c>
      <c r="F20" s="64">
        <f>SUM(daily_report!$O$5:$O$5)</f>
        <v>0</v>
      </c>
      <c r="G20" s="64">
        <f>SUM(daily_report!$O$7:$O$7)</f>
        <v>12</v>
      </c>
      <c r="H20" s="65">
        <f t="shared" si="2"/>
        <v>0</v>
      </c>
      <c r="I20" s="9"/>
      <c r="Q20" s="9"/>
      <c r="R20" s="9"/>
      <c r="S20" s="9"/>
      <c r="T20" s="9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spans="1:257" ht="15" customHeight="1">
      <c r="A21" s="9"/>
      <c r="B21" s="141" t="s">
        <v>31</v>
      </c>
      <c r="C21" s="202"/>
      <c r="D21" s="171">
        <f>SUM(voucher!$O$3:$O$3)</f>
        <v>0</v>
      </c>
      <c r="E21" s="171">
        <f>SUM(voucher!$O$4:$O$4)</f>
        <v>0</v>
      </c>
      <c r="F21" s="171">
        <f>SUM(voucher!$O$5:$O$5)</f>
        <v>0</v>
      </c>
      <c r="G21" s="171">
        <f>SUM(voucher!$O$7:$O$7)</f>
        <v>5</v>
      </c>
      <c r="H21" s="172">
        <f t="shared" si="2"/>
        <v>0</v>
      </c>
      <c r="I21" s="9"/>
      <c r="Q21" s="9"/>
      <c r="R21" s="9"/>
      <c r="S21" s="9"/>
      <c r="T21" s="9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spans="1:257" ht="15" customHeight="1">
      <c r="A22" s="9"/>
      <c r="B22" s="199" t="s">
        <v>32</v>
      </c>
      <c r="C22" s="199"/>
      <c r="D22" s="197">
        <f>SUM(Store_config!$O$3:$O$3)</f>
        <v>0</v>
      </c>
      <c r="E22" s="197">
        <f>SUM(Store_config!$O$4:$O$4)</f>
        <v>0</v>
      </c>
      <c r="F22" s="197">
        <f>SUM(Store_config!$O$5:$O$5)</f>
        <v>0</v>
      </c>
      <c r="G22" s="197">
        <f>SUM(Store_config!$O$7:$O$7)</f>
        <v>3</v>
      </c>
      <c r="H22" s="198">
        <f t="shared" si="2"/>
        <v>0</v>
      </c>
      <c r="I22" s="9"/>
      <c r="Q22" s="9"/>
      <c r="R22" s="9"/>
      <c r="S22" s="9"/>
      <c r="T22" s="9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spans="1:257" ht="15" customHeight="1">
      <c r="A23" s="9"/>
      <c r="B23" s="249" t="s">
        <v>33</v>
      </c>
      <c r="C23" s="250"/>
      <c r="D23" s="197">
        <f>SUM(Multiscreen!$O$3:$O$3)</f>
        <v>0</v>
      </c>
      <c r="E23" s="197">
        <f>SUM(Multiscreen!$O$4:$O$4)</f>
        <v>0</v>
      </c>
      <c r="F23" s="197">
        <f>SUM(Multiscreen!$O$5:$O$5)</f>
        <v>0</v>
      </c>
      <c r="G23" s="197">
        <f>SUM(Multiscreen!$O$7:$O$7)</f>
        <v>9</v>
      </c>
      <c r="H23" s="198">
        <f t="shared" si="2"/>
        <v>0</v>
      </c>
      <c r="I23" s="9"/>
      <c r="Q23" s="9"/>
      <c r="R23" s="9"/>
      <c r="S23" s="9"/>
      <c r="T23" s="9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spans="1:257" ht="15" customHeight="1">
      <c r="A24" s="9"/>
      <c r="B24" s="207" t="s">
        <v>34</v>
      </c>
      <c r="C24" s="208"/>
      <c r="D24" s="197">
        <f>SUM(scanner!$O$3:$O$3)</f>
        <v>0</v>
      </c>
      <c r="E24" s="197">
        <f>SUM(scanner!$O$4:$O$4)</f>
        <v>0</v>
      </c>
      <c r="F24" s="197">
        <f>SUM(scanner!$O$5:$O$5)</f>
        <v>0</v>
      </c>
      <c r="G24" s="197">
        <f>SUM(scanner!$O$7:$O$7)</f>
        <v>9</v>
      </c>
      <c r="H24" s="198">
        <f t="shared" si="2"/>
        <v>0</v>
      </c>
      <c r="I24" s="9"/>
      <c r="Q24" s="9"/>
      <c r="R24" s="9"/>
      <c r="S24" s="9"/>
      <c r="T24" s="9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spans="1:257" ht="15" customHeight="1">
      <c r="A25" s="9"/>
      <c r="B25" s="246"/>
      <c r="C25" s="246"/>
      <c r="D25" s="246"/>
      <c r="E25" s="246"/>
      <c r="F25" s="246"/>
      <c r="G25" s="246"/>
      <c r="H25" s="246"/>
      <c r="I25" s="9"/>
      <c r="Q25" s="9"/>
      <c r="R25" s="9"/>
      <c r="S25" s="9"/>
      <c r="T25" s="9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spans="1:257" s="2" customFormat="1">
      <c r="A26" s="1"/>
      <c r="B26" s="237" t="s">
        <v>35</v>
      </c>
      <c r="C26" s="237"/>
      <c r="D26" s="200">
        <f>SUM(D11:D24)</f>
        <v>0</v>
      </c>
      <c r="E26" s="200">
        <f>SUM(E11:E24)</f>
        <v>0</v>
      </c>
      <c r="F26" s="200">
        <f>SUM(F11:F24)</f>
        <v>0</v>
      </c>
      <c r="G26" s="200">
        <f>SUM(G11:G24)</f>
        <v>148</v>
      </c>
      <c r="H26" s="201"/>
      <c r="I26" s="9"/>
      <c r="J26" s="9"/>
      <c r="K26" s="9"/>
      <c r="L26" s="9"/>
      <c r="M26" s="9"/>
      <c r="N26" s="9"/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57" s="2" customFormat="1">
      <c r="A27" s="1"/>
      <c r="B27" s="71"/>
      <c r="C27" s="71"/>
      <c r="D27" s="73"/>
      <c r="E27" s="73"/>
      <c r="F27" s="73"/>
      <c r="G27" s="73"/>
      <c r="H27" s="74"/>
      <c r="I27" s="9"/>
      <c r="J27" s="9"/>
      <c r="K27" s="9"/>
      <c r="L27" s="9"/>
      <c r="M27" s="9"/>
      <c r="N27" s="9"/>
      <c r="O27" s="1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57" s="2" customFormat="1">
      <c r="A28" s="1"/>
      <c r="B28" s="87"/>
      <c r="C28" s="75" t="s">
        <v>36</v>
      </c>
      <c r="D28" s="76">
        <f>D26/G26</f>
        <v>0</v>
      </c>
      <c r="E28" s="241">
        <f>(D26+E26+F26)/G26</f>
        <v>0</v>
      </c>
      <c r="F28" s="242"/>
      <c r="G28" s="242"/>
      <c r="H28" s="238" t="s">
        <v>37</v>
      </c>
      <c r="I28" s="9"/>
      <c r="J28" s="9"/>
      <c r="K28" s="9"/>
      <c r="L28" s="9"/>
      <c r="M28" s="9"/>
      <c r="N28" s="9"/>
      <c r="O28" s="1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57" s="2" customFormat="1">
      <c r="A29" s="1"/>
      <c r="B29" s="89"/>
      <c r="C29" s="90" t="s">
        <v>38</v>
      </c>
      <c r="D29" s="91">
        <f>E26/G26</f>
        <v>0</v>
      </c>
      <c r="E29" s="243"/>
      <c r="F29" s="243"/>
      <c r="G29" s="243"/>
      <c r="H29" s="239"/>
      <c r="I29" s="9"/>
      <c r="J29" s="9"/>
      <c r="K29" s="9"/>
      <c r="L29" s="9"/>
      <c r="M29" s="9"/>
      <c r="N29" s="9"/>
      <c r="O29" s="1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57" s="2" customFormat="1">
      <c r="A30" s="1"/>
      <c r="B30" s="88"/>
      <c r="C30" s="92" t="s">
        <v>39</v>
      </c>
      <c r="D30" s="93">
        <f>F26/G26</f>
        <v>0</v>
      </c>
      <c r="E30" s="244"/>
      <c r="F30" s="245"/>
      <c r="G30" s="245"/>
      <c r="H30" s="240"/>
      <c r="I30" s="9"/>
      <c r="J30" s="9"/>
      <c r="K30" s="9"/>
      <c r="L30" s="9"/>
      <c r="M30" s="9"/>
      <c r="N30" s="9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57" s="2" customFormat="1">
      <c r="A31" s="1"/>
      <c r="B31" s="3"/>
      <c r="D31" s="9"/>
      <c r="E31" s="9"/>
      <c r="F31" s="9"/>
      <c r="G31" s="9"/>
      <c r="H31" s="35"/>
      <c r="I31" s="9"/>
      <c r="J31" s="9"/>
      <c r="K31" s="9"/>
      <c r="L31" s="9"/>
      <c r="M31" s="9"/>
      <c r="N31" s="9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57" s="2" customFormat="1">
      <c r="A32" s="1"/>
      <c r="B32" s="3"/>
      <c r="D32" s="9"/>
      <c r="E32" s="9"/>
      <c r="F32" s="9"/>
      <c r="G32" s="9"/>
      <c r="H32" s="35"/>
      <c r="I32" s="9"/>
      <c r="J32" s="9"/>
      <c r="K32" s="9"/>
      <c r="L32" s="9"/>
      <c r="M32" s="9"/>
      <c r="N32" s="9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s="2" customFormat="1">
      <c r="A33" s="1"/>
      <c r="B33" s="3"/>
      <c r="D33" s="9"/>
      <c r="E33" s="9"/>
      <c r="F33" s="9"/>
      <c r="G33" s="9"/>
      <c r="H33" s="35"/>
      <c r="I33" s="9"/>
      <c r="J33" s="9"/>
      <c r="K33" s="9"/>
      <c r="L33" s="9"/>
      <c r="M33" s="9"/>
      <c r="N33" s="9"/>
      <c r="O33" s="1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s="2" customFormat="1">
      <c r="A34" s="1"/>
      <c r="B34" s="3"/>
      <c r="D34" s="9"/>
      <c r="E34" s="9"/>
      <c r="F34" s="9"/>
      <c r="G34" s="9"/>
      <c r="H34" s="35"/>
      <c r="I34" s="9"/>
      <c r="J34" s="9"/>
      <c r="K34" s="9"/>
      <c r="L34" s="9"/>
      <c r="M34" s="9"/>
      <c r="N34" s="9"/>
      <c r="O34" s="1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s="2" customFormat="1">
      <c r="A35" s="1"/>
      <c r="B35" s="3"/>
      <c r="D35" s="9"/>
      <c r="E35" s="9"/>
      <c r="F35" s="9"/>
      <c r="G35" s="9"/>
      <c r="H35" s="35"/>
      <c r="I35" s="9"/>
      <c r="J35" s="9"/>
      <c r="K35" s="9"/>
      <c r="L35" s="9"/>
      <c r="M35" s="9"/>
      <c r="N35" s="9"/>
      <c r="O35" s="1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s="2" customFormat="1">
      <c r="A36" s="1"/>
      <c r="B36" s="3"/>
      <c r="D36" s="9"/>
      <c r="E36" s="9"/>
      <c r="F36" s="9"/>
      <c r="G36" s="9"/>
      <c r="H36" s="35"/>
      <c r="I36" s="9"/>
      <c r="J36" s="9"/>
      <c r="K36" s="9"/>
      <c r="L36" s="9"/>
      <c r="M36" s="9"/>
      <c r="N36" s="9"/>
      <c r="O36" s="1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s="2" customFormat="1">
      <c r="A37" s="1"/>
      <c r="B37" s="3"/>
      <c r="D37" s="9"/>
      <c r="E37" s="9"/>
      <c r="F37" s="9"/>
      <c r="G37" s="9"/>
      <c r="H37" s="35"/>
      <c r="I37" s="9"/>
      <c r="J37" s="9"/>
      <c r="K37" s="9"/>
      <c r="L37" s="9"/>
      <c r="M37" s="9"/>
      <c r="N37" s="9"/>
      <c r="O37" s="1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s="2" customFormat="1">
      <c r="A38" s="1"/>
      <c r="B38" s="3"/>
      <c r="D38" s="9"/>
      <c r="E38" s="9"/>
      <c r="F38" s="9"/>
      <c r="G38" s="9"/>
      <c r="H38" s="35"/>
      <c r="I38" s="9"/>
      <c r="J38" s="9"/>
      <c r="K38" s="9"/>
      <c r="L38" s="9"/>
      <c r="M38" s="9"/>
      <c r="N38" s="9"/>
      <c r="O38" s="1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s="2" customFormat="1">
      <c r="A39" s="1"/>
      <c r="B39" s="3"/>
      <c r="D39" s="9"/>
      <c r="E39" s="9"/>
      <c r="F39" s="9"/>
      <c r="G39" s="9"/>
      <c r="H39" s="35"/>
      <c r="I39" s="9"/>
      <c r="J39" s="9"/>
      <c r="K39" s="9"/>
      <c r="L39" s="9"/>
      <c r="M39" s="9"/>
      <c r="N39" s="9"/>
      <c r="O39" s="1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s="2" customFormat="1">
      <c r="A40" s="1"/>
      <c r="B40" s="3"/>
      <c r="D40" s="9"/>
      <c r="E40" s="9"/>
      <c r="F40" s="9"/>
      <c r="G40" s="9"/>
      <c r="H40" s="35"/>
      <c r="I40" s="9"/>
      <c r="J40" s="9"/>
      <c r="K40" s="9"/>
      <c r="L40" s="9"/>
      <c r="M40" s="9"/>
      <c r="N40" s="9"/>
      <c r="O40" s="1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s="2" customFormat="1">
      <c r="A41" s="1"/>
      <c r="B41" s="3"/>
      <c r="D41" s="9"/>
      <c r="E41" s="9"/>
      <c r="F41" s="9"/>
      <c r="G41" s="9"/>
      <c r="H41" s="35"/>
      <c r="I41" s="9"/>
      <c r="J41" s="9"/>
      <c r="K41" s="9"/>
      <c r="L41" s="9"/>
      <c r="M41" s="9"/>
      <c r="N41" s="9"/>
      <c r="O41" s="1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s="2" customFormat="1">
      <c r="A42" s="1"/>
      <c r="B42" s="3"/>
      <c r="D42" s="9"/>
      <c r="E42" s="9"/>
      <c r="F42" s="9"/>
      <c r="G42" s="9"/>
      <c r="H42" s="35"/>
      <c r="I42" s="9"/>
      <c r="J42" s="9"/>
      <c r="K42" s="9"/>
      <c r="L42" s="9"/>
      <c r="M42" s="9"/>
      <c r="N42" s="9"/>
      <c r="O42" s="1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s="2" customFormat="1">
      <c r="A43" s="1"/>
      <c r="B43" s="3"/>
      <c r="D43" s="9"/>
      <c r="E43" s="9"/>
      <c r="F43" s="9"/>
      <c r="G43" s="9"/>
      <c r="H43" s="35"/>
      <c r="I43" s="9"/>
      <c r="J43" s="9"/>
      <c r="K43" s="9"/>
      <c r="L43" s="9"/>
      <c r="M43" s="9"/>
      <c r="N43" s="9"/>
      <c r="O43" s="1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s="2" customFormat="1">
      <c r="A44" s="1"/>
      <c r="B44" s="3"/>
      <c r="D44" s="9"/>
      <c r="E44" s="9"/>
      <c r="F44" s="9"/>
      <c r="G44" s="9"/>
      <c r="H44" s="35"/>
      <c r="I44" s="9"/>
      <c r="J44" s="9"/>
      <c r="K44" s="9"/>
      <c r="L44" s="9"/>
      <c r="M44" s="9"/>
      <c r="N44" s="9"/>
      <c r="O44" s="1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s="2" customFormat="1">
      <c r="A45" s="1"/>
      <c r="B45" s="3"/>
      <c r="D45" s="9"/>
      <c r="E45" s="9"/>
      <c r="F45" s="9"/>
      <c r="G45" s="9"/>
      <c r="H45" s="35"/>
      <c r="I45" s="9"/>
      <c r="J45" s="9"/>
      <c r="K45" s="9"/>
      <c r="L45" s="9"/>
      <c r="M45" s="9"/>
      <c r="N45" s="9"/>
      <c r="O45" s="1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s="2" customFormat="1">
      <c r="A46" s="1"/>
      <c r="B46" s="3"/>
      <c r="D46" s="9"/>
      <c r="E46" s="9"/>
      <c r="F46" s="9"/>
      <c r="G46" s="9"/>
      <c r="H46" s="35"/>
      <c r="I46" s="9"/>
      <c r="J46" s="9"/>
      <c r="K46" s="9"/>
      <c r="L46" s="9"/>
      <c r="M46" s="9"/>
      <c r="N46" s="9"/>
      <c r="O46" s="1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s="2" customFormat="1">
      <c r="A47" s="1"/>
      <c r="B47" s="3"/>
      <c r="D47" s="9"/>
      <c r="E47" s="9"/>
      <c r="F47" s="9"/>
      <c r="G47" s="9"/>
      <c r="H47" s="35"/>
      <c r="I47" s="9"/>
      <c r="J47" s="9"/>
      <c r="K47" s="9"/>
      <c r="L47" s="9"/>
      <c r="M47" s="9"/>
      <c r="N47" s="9"/>
      <c r="O47" s="1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s="2" customFormat="1">
      <c r="A48" s="1"/>
      <c r="B48" s="3"/>
      <c r="D48" s="9"/>
      <c r="E48" s="9"/>
      <c r="F48" s="9"/>
      <c r="G48" s="9"/>
      <c r="H48" s="35"/>
      <c r="I48" s="9"/>
      <c r="J48" s="9"/>
      <c r="K48" s="9"/>
      <c r="L48" s="9"/>
      <c r="M48" s="9"/>
      <c r="N48" s="9"/>
      <c r="O48" s="1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s="2" customFormat="1">
      <c r="A49" s="1"/>
      <c r="B49" s="3"/>
      <c r="D49" s="9"/>
      <c r="E49" s="9"/>
      <c r="F49" s="9"/>
      <c r="G49" s="9"/>
      <c r="H49" s="35"/>
      <c r="I49" s="9"/>
      <c r="J49" s="9"/>
      <c r="K49" s="9"/>
      <c r="L49" s="9"/>
      <c r="M49" s="9"/>
      <c r="N49" s="9"/>
      <c r="O49" s="1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s="2" customFormat="1">
      <c r="A50" s="1"/>
      <c r="B50" s="3"/>
      <c r="D50" s="9"/>
      <c r="E50" s="9"/>
      <c r="F50" s="9"/>
      <c r="G50" s="9"/>
      <c r="H50" s="35"/>
      <c r="I50" s="9"/>
      <c r="J50" s="9"/>
      <c r="K50" s="9"/>
      <c r="L50" s="9"/>
      <c r="M50" s="9"/>
      <c r="N50" s="9"/>
      <c r="O50" s="1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s="2" customFormat="1">
      <c r="A51" s="1"/>
      <c r="B51" s="3"/>
      <c r="D51" s="9"/>
      <c r="E51" s="9"/>
      <c r="F51" s="9"/>
      <c r="G51" s="9"/>
      <c r="H51" s="35"/>
      <c r="I51" s="9"/>
      <c r="J51" s="9"/>
      <c r="K51" s="9"/>
      <c r="L51" s="9"/>
      <c r="M51" s="9"/>
      <c r="N51" s="9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s="2" customFormat="1">
      <c r="A52" s="1"/>
      <c r="B52" s="3"/>
      <c r="D52" s="9"/>
      <c r="E52" s="9"/>
      <c r="F52" s="9"/>
      <c r="G52" s="9"/>
      <c r="H52" s="35"/>
      <c r="I52" s="9"/>
      <c r="J52" s="9"/>
      <c r="K52" s="9"/>
      <c r="L52" s="9"/>
      <c r="M52" s="9"/>
      <c r="N52" s="9"/>
      <c r="O52" s="1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s="2" customFormat="1">
      <c r="A53" s="1"/>
      <c r="B53" s="3"/>
      <c r="D53" s="9"/>
      <c r="E53" s="9"/>
      <c r="F53" s="9"/>
      <c r="G53" s="9"/>
      <c r="H53" s="35"/>
      <c r="I53" s="9"/>
      <c r="J53" s="9"/>
      <c r="K53" s="9"/>
      <c r="L53" s="9"/>
      <c r="M53" s="9"/>
      <c r="N53" s="9"/>
      <c r="O53" s="1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s="2" customFormat="1">
      <c r="A54" s="1"/>
      <c r="B54" s="3"/>
      <c r="D54" s="9"/>
      <c r="E54" s="9"/>
      <c r="F54" s="9"/>
      <c r="G54" s="9"/>
      <c r="H54" s="35"/>
      <c r="I54" s="9"/>
      <c r="J54" s="9"/>
      <c r="K54" s="9"/>
      <c r="L54" s="9"/>
      <c r="M54" s="9"/>
      <c r="N54" s="9"/>
      <c r="O54" s="1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s="2" customFormat="1">
      <c r="A55" s="1"/>
      <c r="B55" s="3"/>
      <c r="D55" s="9"/>
      <c r="E55" s="9"/>
      <c r="F55" s="9"/>
      <c r="G55" s="9"/>
      <c r="H55" s="35"/>
      <c r="I55" s="9"/>
      <c r="J55" s="9"/>
      <c r="K55" s="9"/>
      <c r="L55" s="9"/>
      <c r="M55" s="9"/>
      <c r="N55" s="9"/>
      <c r="O55" s="1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s="2" customFormat="1">
      <c r="A56" s="1"/>
      <c r="B56" s="3"/>
      <c r="D56" s="9"/>
      <c r="E56" s="9"/>
      <c r="F56" s="9"/>
      <c r="G56" s="9"/>
      <c r="H56" s="35"/>
      <c r="I56" s="9"/>
      <c r="J56" s="9"/>
      <c r="K56" s="9"/>
      <c r="L56" s="9"/>
      <c r="M56" s="9"/>
      <c r="N56" s="9"/>
      <c r="O56" s="1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s="2" customFormat="1">
      <c r="A57" s="1"/>
      <c r="B57" s="3"/>
      <c r="D57" s="9"/>
      <c r="E57" s="9"/>
      <c r="F57" s="9"/>
      <c r="G57" s="9"/>
      <c r="H57" s="35"/>
      <c r="I57" s="9"/>
      <c r="J57" s="9"/>
      <c r="K57" s="9"/>
      <c r="L57" s="9"/>
      <c r="M57" s="9"/>
      <c r="N57" s="9"/>
      <c r="O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s="2" customFormat="1">
      <c r="A58" s="1"/>
      <c r="B58" s="3"/>
      <c r="D58" s="9"/>
      <c r="E58" s="9"/>
      <c r="F58" s="9"/>
      <c r="G58" s="9"/>
      <c r="H58" s="35"/>
      <c r="I58" s="9"/>
      <c r="J58" s="9"/>
      <c r="K58" s="9"/>
      <c r="L58" s="9"/>
      <c r="M58" s="9"/>
      <c r="N58" s="9"/>
      <c r="O58" s="1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s="2" customFormat="1">
      <c r="A59" s="1"/>
      <c r="B59" s="3"/>
      <c r="D59" s="9"/>
      <c r="E59" s="9"/>
      <c r="F59" s="9"/>
      <c r="G59" s="9"/>
      <c r="H59" s="35"/>
      <c r="I59" s="9"/>
      <c r="J59" s="9"/>
      <c r="K59" s="9"/>
      <c r="L59" s="9"/>
      <c r="M59" s="9"/>
      <c r="N59" s="9"/>
      <c r="O59" s="1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s="2" customFormat="1">
      <c r="A60" s="1"/>
      <c r="B60" s="3"/>
      <c r="D60" s="9"/>
      <c r="E60" s="9"/>
      <c r="F60" s="9"/>
      <c r="G60" s="9"/>
      <c r="H60" s="35"/>
      <c r="I60" s="9"/>
      <c r="J60" s="9"/>
      <c r="K60" s="9"/>
      <c r="L60" s="9"/>
      <c r="M60" s="9"/>
      <c r="N60" s="9"/>
      <c r="O60" s="1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s="2" customFormat="1">
      <c r="A61" s="1"/>
      <c r="B61" s="3"/>
      <c r="D61" s="9"/>
      <c r="E61" s="9"/>
      <c r="F61" s="9"/>
      <c r="G61" s="9"/>
      <c r="H61" s="35"/>
      <c r="I61" s="9"/>
      <c r="J61" s="9"/>
      <c r="K61" s="9"/>
      <c r="L61" s="9"/>
      <c r="M61" s="9"/>
      <c r="N61" s="9"/>
      <c r="O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s="2" customFormat="1">
      <c r="A62" s="1"/>
      <c r="B62" s="3"/>
      <c r="D62" s="9"/>
      <c r="E62" s="9"/>
      <c r="F62" s="9"/>
      <c r="G62" s="9"/>
      <c r="H62" s="35"/>
      <c r="I62" s="9"/>
      <c r="J62" s="9"/>
      <c r="K62" s="9"/>
      <c r="L62" s="9"/>
      <c r="M62" s="9"/>
      <c r="N62" s="9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s="2" customFormat="1">
      <c r="A63" s="1"/>
      <c r="B63" s="3"/>
      <c r="D63" s="9"/>
      <c r="E63" s="9"/>
      <c r="F63" s="9"/>
      <c r="G63" s="9"/>
      <c r="H63" s="35"/>
      <c r="I63" s="9"/>
      <c r="J63" s="9"/>
      <c r="K63" s="9"/>
      <c r="L63" s="9"/>
      <c r="M63" s="9"/>
      <c r="N63" s="9"/>
      <c r="O63" s="1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s="2" customFormat="1">
      <c r="A64" s="1"/>
      <c r="B64" s="3"/>
      <c r="D64" s="9"/>
      <c r="E64" s="9"/>
      <c r="F64" s="9"/>
      <c r="G64" s="9"/>
      <c r="H64" s="35"/>
      <c r="I64" s="9"/>
      <c r="J64" s="9"/>
      <c r="K64" s="9"/>
      <c r="L64" s="9"/>
      <c r="M64" s="9"/>
      <c r="N64" s="9"/>
      <c r="O64" s="1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s="2" customFormat="1">
      <c r="A65" s="1"/>
      <c r="B65" s="3"/>
      <c r="D65" s="9"/>
      <c r="E65" s="9"/>
      <c r="F65" s="9"/>
      <c r="G65" s="9"/>
      <c r="H65" s="35"/>
      <c r="I65" s="9"/>
      <c r="J65" s="9"/>
      <c r="K65" s="9"/>
      <c r="L65" s="9"/>
      <c r="M65" s="9"/>
      <c r="N65" s="9"/>
      <c r="O65" s="1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s="2" customFormat="1">
      <c r="A66" s="1"/>
      <c r="B66" s="3"/>
      <c r="D66" s="9"/>
      <c r="E66" s="9"/>
      <c r="F66" s="9"/>
      <c r="G66" s="9"/>
      <c r="H66" s="35"/>
      <c r="I66" s="9"/>
      <c r="J66" s="9"/>
      <c r="K66" s="9"/>
      <c r="L66" s="9"/>
      <c r="M66" s="9"/>
      <c r="N66" s="9"/>
      <c r="O66" s="10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s="2" customFormat="1">
      <c r="A67" s="1"/>
      <c r="B67" s="3"/>
      <c r="D67" s="9"/>
      <c r="E67" s="9"/>
      <c r="F67" s="9"/>
      <c r="G67" s="9"/>
      <c r="H67" s="35"/>
      <c r="I67" s="9"/>
      <c r="J67" s="9"/>
      <c r="K67" s="9"/>
      <c r="L67" s="9"/>
      <c r="M67" s="9"/>
      <c r="N67" s="9"/>
      <c r="O67" s="10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s="2" customFormat="1">
      <c r="A68" s="1"/>
      <c r="B68" s="3"/>
      <c r="D68" s="9"/>
      <c r="E68" s="9"/>
      <c r="F68" s="9"/>
      <c r="G68" s="9"/>
      <c r="H68" s="35"/>
      <c r="I68" s="9"/>
      <c r="J68" s="9"/>
      <c r="K68" s="9"/>
      <c r="L68" s="9"/>
      <c r="M68" s="9"/>
      <c r="N68" s="9"/>
      <c r="O68" s="10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s="2" customFormat="1">
      <c r="A69" s="1"/>
      <c r="B69" s="3"/>
      <c r="D69" s="9"/>
      <c r="E69" s="9"/>
      <c r="F69" s="9"/>
      <c r="G69" s="9"/>
      <c r="H69" s="35"/>
      <c r="I69" s="9"/>
      <c r="J69" s="9"/>
      <c r="K69" s="9"/>
      <c r="L69" s="9"/>
      <c r="M69" s="9"/>
      <c r="N69" s="9"/>
      <c r="O69" s="10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s="2" customFormat="1">
      <c r="A70" s="1"/>
      <c r="B70" s="3"/>
      <c r="D70" s="9"/>
      <c r="E70" s="9"/>
      <c r="F70" s="9"/>
      <c r="G70" s="9"/>
      <c r="H70" s="35"/>
      <c r="I70" s="9"/>
      <c r="J70" s="9"/>
      <c r="K70" s="9"/>
      <c r="L70" s="9"/>
      <c r="M70" s="9"/>
      <c r="N70" s="9"/>
      <c r="O70" s="10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s="2" customFormat="1">
      <c r="A71" s="1"/>
      <c r="B71" s="3"/>
      <c r="D71" s="9"/>
      <c r="E71" s="9"/>
      <c r="F71" s="9"/>
      <c r="G71" s="9"/>
      <c r="H71" s="35"/>
      <c r="I71" s="9"/>
      <c r="J71" s="9"/>
      <c r="K71" s="9"/>
      <c r="L71" s="9"/>
      <c r="M71" s="9"/>
      <c r="N71" s="9"/>
      <c r="O71" s="1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s="2" customFormat="1">
      <c r="A72" s="1"/>
      <c r="B72" s="3"/>
      <c r="D72" s="9"/>
      <c r="E72" s="9"/>
      <c r="F72" s="9"/>
      <c r="G72" s="9"/>
      <c r="H72" s="35"/>
      <c r="I72" s="9"/>
      <c r="J72" s="9"/>
      <c r="K72" s="9"/>
      <c r="L72" s="9"/>
      <c r="M72" s="9"/>
      <c r="N72" s="9"/>
      <c r="O72" s="10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s="2" customFormat="1">
      <c r="A73" s="1"/>
      <c r="B73" s="3"/>
      <c r="D73" s="9"/>
      <c r="E73" s="9"/>
      <c r="F73" s="9"/>
      <c r="G73" s="9"/>
      <c r="H73" s="35"/>
      <c r="I73" s="9"/>
      <c r="J73" s="9"/>
      <c r="K73" s="9"/>
      <c r="L73" s="9"/>
      <c r="M73" s="9"/>
      <c r="N73" s="9"/>
      <c r="O73" s="10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s="2" customFormat="1">
      <c r="A74" s="1"/>
      <c r="B74" s="3"/>
      <c r="D74" s="9"/>
      <c r="E74" s="9"/>
      <c r="F74" s="9"/>
      <c r="G74" s="9"/>
      <c r="H74" s="35"/>
      <c r="I74" s="9"/>
      <c r="J74" s="9"/>
      <c r="K74" s="9"/>
      <c r="L74" s="9"/>
      <c r="M74" s="9"/>
      <c r="N74" s="9"/>
      <c r="O74" s="10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s="2" customFormat="1">
      <c r="A75" s="1"/>
      <c r="B75" s="3"/>
      <c r="D75" s="9"/>
      <c r="E75" s="9"/>
      <c r="F75" s="9"/>
      <c r="G75" s="9"/>
      <c r="H75" s="35"/>
      <c r="I75" s="9"/>
      <c r="J75" s="9"/>
      <c r="K75" s="9"/>
      <c r="L75" s="9"/>
      <c r="M75" s="9"/>
      <c r="N75" s="9"/>
      <c r="O75" s="10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s="2" customFormat="1">
      <c r="A76" s="1"/>
      <c r="B76" s="3"/>
      <c r="D76" s="9"/>
      <c r="E76" s="9"/>
      <c r="F76" s="9"/>
      <c r="G76" s="9"/>
      <c r="H76" s="35"/>
      <c r="I76" s="9"/>
      <c r="J76" s="9"/>
      <c r="K76" s="9"/>
      <c r="L76" s="9"/>
      <c r="M76" s="9"/>
      <c r="N76" s="9"/>
      <c r="O76" s="1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s="2" customFormat="1">
      <c r="A77" s="1"/>
      <c r="B77" s="3"/>
      <c r="D77" s="9"/>
      <c r="E77" s="9"/>
      <c r="F77" s="9"/>
      <c r="G77" s="9"/>
      <c r="H77" s="35"/>
      <c r="I77" s="9"/>
      <c r="J77" s="9"/>
      <c r="K77" s="9"/>
      <c r="L77" s="9"/>
      <c r="M77" s="9"/>
      <c r="N77" s="9"/>
      <c r="O77" s="1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s="2" customFormat="1">
      <c r="A78" s="1"/>
      <c r="B78" s="3"/>
      <c r="D78" s="9"/>
      <c r="E78" s="9"/>
      <c r="F78" s="9"/>
      <c r="G78" s="9"/>
      <c r="H78" s="35"/>
      <c r="I78" s="9"/>
      <c r="J78" s="9"/>
      <c r="K78" s="9"/>
      <c r="L78" s="9"/>
      <c r="M78" s="9"/>
      <c r="N78" s="9"/>
      <c r="O78" s="10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s="2" customFormat="1">
      <c r="A79" s="1"/>
      <c r="B79" s="3"/>
      <c r="D79" s="9"/>
      <c r="E79" s="9"/>
      <c r="F79" s="9"/>
      <c r="G79" s="9"/>
      <c r="H79" s="35"/>
      <c r="I79" s="9"/>
      <c r="J79" s="9"/>
      <c r="K79" s="9"/>
      <c r="L79" s="9"/>
      <c r="M79" s="9"/>
      <c r="N79" s="9"/>
      <c r="O79" s="10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s="2" customFormat="1">
      <c r="A80" s="1"/>
      <c r="B80" s="3"/>
      <c r="D80" s="9"/>
      <c r="E80" s="9"/>
      <c r="F80" s="9"/>
      <c r="G80" s="9"/>
      <c r="H80" s="35"/>
      <c r="I80" s="9"/>
      <c r="J80" s="9"/>
      <c r="K80" s="9"/>
      <c r="L80" s="9"/>
      <c r="M80" s="9"/>
      <c r="N80" s="9"/>
      <c r="O80" s="10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s="2" customFormat="1">
      <c r="A81" s="1"/>
      <c r="B81" s="3"/>
      <c r="D81" s="9"/>
      <c r="E81" s="9"/>
      <c r="F81" s="9"/>
      <c r="G81" s="9"/>
      <c r="H81" s="35"/>
      <c r="I81" s="9"/>
      <c r="J81" s="9"/>
      <c r="K81" s="9"/>
      <c r="L81" s="9"/>
      <c r="M81" s="9"/>
      <c r="N81" s="9"/>
      <c r="O81" s="10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s="2" customFormat="1">
      <c r="A82" s="1"/>
      <c r="B82" s="3"/>
      <c r="D82" s="9"/>
      <c r="E82" s="9"/>
      <c r="F82" s="9"/>
      <c r="G82" s="9"/>
      <c r="H82" s="35"/>
      <c r="I82" s="9"/>
      <c r="J82" s="9"/>
      <c r="K82" s="9"/>
      <c r="L82" s="9"/>
      <c r="M82" s="9"/>
      <c r="N82" s="9"/>
      <c r="O82" s="10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s="2" customFormat="1">
      <c r="A83" s="1"/>
      <c r="B83" s="3"/>
      <c r="D83" s="9"/>
      <c r="E83" s="9"/>
      <c r="F83" s="9"/>
      <c r="G83" s="9"/>
      <c r="H83" s="35"/>
      <c r="I83" s="9"/>
      <c r="J83" s="9"/>
      <c r="K83" s="9"/>
      <c r="L83" s="9"/>
      <c r="M83" s="9"/>
      <c r="N83" s="9"/>
      <c r="O83" s="10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s="2" customFormat="1">
      <c r="A84" s="1"/>
      <c r="B84" s="3"/>
      <c r="D84" s="9"/>
      <c r="E84" s="9"/>
      <c r="F84" s="9"/>
      <c r="G84" s="9"/>
      <c r="H84" s="35"/>
      <c r="I84" s="9"/>
      <c r="J84" s="9"/>
      <c r="K84" s="9"/>
      <c r="L84" s="9"/>
      <c r="M84" s="9"/>
      <c r="N84" s="9"/>
      <c r="O84" s="10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s="2" customFormat="1">
      <c r="A85" s="1"/>
      <c r="B85" s="3"/>
      <c r="D85" s="9"/>
      <c r="E85" s="9"/>
      <c r="F85" s="9"/>
      <c r="G85" s="9"/>
      <c r="H85" s="35"/>
      <c r="I85" s="9"/>
      <c r="J85" s="9"/>
      <c r="K85" s="9"/>
      <c r="L85" s="9"/>
      <c r="M85" s="9"/>
      <c r="N85" s="9"/>
      <c r="O85" s="10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s="2" customFormat="1">
      <c r="A86" s="1"/>
      <c r="B86" s="3"/>
      <c r="D86" s="9"/>
      <c r="E86" s="9"/>
      <c r="F86" s="9"/>
      <c r="G86" s="9"/>
      <c r="H86" s="35"/>
      <c r="I86" s="9"/>
      <c r="J86" s="9"/>
      <c r="K86" s="9"/>
      <c r="L86" s="9"/>
      <c r="M86" s="9"/>
      <c r="N86" s="9"/>
      <c r="O86" s="10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s="2" customFormat="1">
      <c r="A87" s="1"/>
      <c r="B87" s="3"/>
      <c r="D87" s="9"/>
      <c r="E87" s="9"/>
      <c r="F87" s="9"/>
      <c r="G87" s="9"/>
      <c r="H87" s="35"/>
      <c r="I87" s="9"/>
      <c r="J87" s="9"/>
      <c r="K87" s="9"/>
      <c r="L87" s="9"/>
      <c r="M87" s="9"/>
      <c r="N87" s="9"/>
      <c r="O87" s="10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s="2" customFormat="1">
      <c r="A88" s="1"/>
      <c r="B88" s="3"/>
      <c r="D88" s="9"/>
      <c r="E88" s="9"/>
      <c r="F88" s="9"/>
      <c r="G88" s="9"/>
      <c r="H88" s="35"/>
      <c r="I88" s="9"/>
      <c r="J88" s="9"/>
      <c r="K88" s="9"/>
      <c r="L88" s="9"/>
      <c r="M88" s="9"/>
      <c r="N88" s="9"/>
      <c r="O88" s="10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s="2" customFormat="1">
      <c r="A89" s="1"/>
      <c r="B89" s="3"/>
      <c r="D89" s="9"/>
      <c r="E89" s="9"/>
      <c r="F89" s="9"/>
      <c r="G89" s="9"/>
      <c r="H89" s="35"/>
      <c r="I89" s="9"/>
      <c r="J89" s="9"/>
      <c r="K89" s="9"/>
      <c r="L89" s="9"/>
      <c r="M89" s="9"/>
      <c r="N89" s="9"/>
      <c r="O89" s="10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s="2" customFormat="1">
      <c r="A90" s="1"/>
      <c r="B90" s="3"/>
      <c r="D90" s="9"/>
      <c r="E90" s="9"/>
      <c r="F90" s="9"/>
      <c r="G90" s="9"/>
      <c r="H90" s="35"/>
      <c r="I90" s="9"/>
      <c r="J90" s="9"/>
      <c r="K90" s="9"/>
      <c r="L90" s="9"/>
      <c r="M90" s="9"/>
      <c r="N90" s="9"/>
      <c r="O90" s="10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s="2" customFormat="1">
      <c r="A91" s="1"/>
      <c r="B91" s="3"/>
      <c r="D91" s="9"/>
      <c r="E91" s="9"/>
      <c r="F91" s="9"/>
      <c r="G91" s="9"/>
      <c r="H91" s="35"/>
      <c r="I91" s="9"/>
      <c r="J91" s="9"/>
      <c r="K91" s="9"/>
      <c r="L91" s="9"/>
      <c r="M91" s="9"/>
      <c r="N91" s="9"/>
      <c r="O91" s="10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s="2" customFormat="1">
      <c r="A92" s="1"/>
      <c r="B92" s="3"/>
      <c r="D92" s="9"/>
      <c r="E92" s="9"/>
      <c r="F92" s="9"/>
      <c r="G92" s="9"/>
      <c r="H92" s="35"/>
      <c r="I92" s="9"/>
      <c r="J92" s="9"/>
      <c r="K92" s="9"/>
      <c r="L92" s="9"/>
      <c r="M92" s="9"/>
      <c r="N92" s="9"/>
      <c r="O92" s="10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s="2" customFormat="1">
      <c r="A93" s="1"/>
      <c r="B93" s="3"/>
      <c r="D93" s="9"/>
      <c r="E93" s="9"/>
      <c r="F93" s="9"/>
      <c r="G93" s="9"/>
      <c r="H93" s="35"/>
      <c r="I93" s="9"/>
      <c r="J93" s="9"/>
      <c r="K93" s="9"/>
      <c r="L93" s="9"/>
      <c r="M93" s="9"/>
      <c r="N93" s="9"/>
      <c r="O93" s="10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s="2" customFormat="1">
      <c r="A94" s="1"/>
      <c r="B94" s="3"/>
      <c r="D94" s="9"/>
      <c r="E94" s="9"/>
      <c r="F94" s="9"/>
      <c r="G94" s="9"/>
      <c r="H94" s="35"/>
      <c r="I94" s="9"/>
      <c r="J94" s="9"/>
      <c r="K94" s="9"/>
      <c r="L94" s="9"/>
      <c r="M94" s="9"/>
      <c r="N94" s="9"/>
      <c r="O94" s="10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s="2" customFormat="1">
      <c r="A95" s="1"/>
      <c r="B95" s="3"/>
      <c r="D95" s="9"/>
      <c r="E95" s="9"/>
      <c r="F95" s="9"/>
      <c r="G95" s="9"/>
      <c r="H95" s="35"/>
      <c r="I95" s="9"/>
      <c r="J95" s="9"/>
      <c r="K95" s="9"/>
      <c r="L95" s="9"/>
      <c r="M95" s="9"/>
      <c r="N95" s="9"/>
      <c r="O95" s="10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s="2" customFormat="1">
      <c r="A96" s="1"/>
      <c r="B96" s="3"/>
      <c r="D96" s="9"/>
      <c r="E96" s="9"/>
      <c r="F96" s="9"/>
      <c r="G96" s="9"/>
      <c r="H96" s="35"/>
      <c r="I96" s="9"/>
      <c r="J96" s="9"/>
      <c r="K96" s="9"/>
      <c r="L96" s="9"/>
      <c r="M96" s="9"/>
      <c r="N96" s="9"/>
      <c r="O96" s="10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s="2" customFormat="1">
      <c r="A97" s="1"/>
      <c r="B97" s="3"/>
      <c r="D97" s="9"/>
      <c r="E97" s="9"/>
      <c r="F97" s="9"/>
      <c r="G97" s="9"/>
      <c r="H97" s="35"/>
      <c r="I97" s="9"/>
      <c r="J97" s="9"/>
      <c r="K97" s="9"/>
      <c r="L97" s="9"/>
      <c r="M97" s="9"/>
      <c r="N97" s="9"/>
      <c r="O97" s="10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s="2" customFormat="1">
      <c r="A98" s="1"/>
      <c r="B98" s="3"/>
      <c r="D98" s="9"/>
      <c r="E98" s="9"/>
      <c r="F98" s="9"/>
      <c r="G98" s="9"/>
      <c r="H98" s="35"/>
      <c r="I98" s="9"/>
      <c r="J98" s="9"/>
      <c r="K98" s="9"/>
      <c r="L98" s="9"/>
      <c r="M98" s="9"/>
      <c r="N98" s="9"/>
      <c r="O98" s="10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s="2" customFormat="1">
      <c r="A99" s="1"/>
      <c r="B99" s="3"/>
      <c r="D99" s="9"/>
      <c r="E99" s="9"/>
      <c r="F99" s="9"/>
      <c r="G99" s="9"/>
      <c r="H99" s="35"/>
      <c r="I99" s="9"/>
      <c r="J99" s="9"/>
      <c r="K99" s="9"/>
      <c r="L99" s="9"/>
      <c r="M99" s="9"/>
      <c r="N99" s="9"/>
      <c r="O99" s="10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s="2" customFormat="1">
      <c r="A100" s="1"/>
      <c r="B100" s="3"/>
      <c r="D100" s="9"/>
      <c r="E100" s="9"/>
      <c r="F100" s="9"/>
      <c r="G100" s="9"/>
      <c r="H100" s="35"/>
      <c r="I100" s="9"/>
      <c r="J100" s="9"/>
      <c r="K100" s="9"/>
      <c r="L100" s="9"/>
      <c r="M100" s="9"/>
      <c r="N100" s="9"/>
      <c r="O100" s="10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s="2" customFormat="1">
      <c r="A101" s="1"/>
      <c r="B101" s="3"/>
      <c r="D101" s="9"/>
      <c r="E101" s="9"/>
      <c r="F101" s="9"/>
      <c r="G101" s="9"/>
      <c r="H101" s="35"/>
      <c r="I101" s="9"/>
      <c r="J101" s="9"/>
      <c r="K101" s="9"/>
      <c r="L101" s="9"/>
      <c r="M101" s="9"/>
      <c r="N101" s="9"/>
      <c r="O101" s="10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s="2" customFormat="1">
      <c r="A102" s="1"/>
      <c r="B102" s="3"/>
      <c r="D102" s="9"/>
      <c r="E102" s="9"/>
      <c r="F102" s="9"/>
      <c r="G102" s="9"/>
      <c r="H102" s="35"/>
      <c r="I102" s="9"/>
      <c r="J102" s="9"/>
      <c r="K102" s="9"/>
      <c r="L102" s="9"/>
      <c r="M102" s="9"/>
      <c r="N102" s="9"/>
      <c r="O102" s="10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s="2" customFormat="1">
      <c r="A103" s="1"/>
      <c r="B103" s="3"/>
      <c r="D103" s="9"/>
      <c r="E103" s="9"/>
      <c r="F103" s="9"/>
      <c r="G103" s="9"/>
      <c r="H103" s="35"/>
      <c r="I103" s="9"/>
      <c r="J103" s="9"/>
      <c r="K103" s="9"/>
      <c r="L103" s="9"/>
      <c r="M103" s="9"/>
      <c r="N103" s="9"/>
      <c r="O103" s="10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s="2" customFormat="1">
      <c r="A104" s="1"/>
      <c r="B104" s="3"/>
      <c r="D104" s="9"/>
      <c r="E104" s="9"/>
      <c r="F104" s="9"/>
      <c r="G104" s="9"/>
      <c r="H104" s="35"/>
      <c r="I104" s="9"/>
      <c r="J104" s="9"/>
      <c r="K104" s="9"/>
      <c r="L104" s="9"/>
      <c r="M104" s="9"/>
      <c r="N104" s="9"/>
      <c r="O104" s="10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s="2" customFormat="1">
      <c r="A105" s="1"/>
      <c r="B105" s="3"/>
      <c r="D105" s="9"/>
      <c r="E105" s="9"/>
      <c r="F105" s="9"/>
      <c r="G105" s="9"/>
      <c r="H105" s="35"/>
      <c r="I105" s="9"/>
      <c r="J105" s="9"/>
      <c r="K105" s="9"/>
      <c r="L105" s="9"/>
      <c r="M105" s="9"/>
      <c r="N105" s="9"/>
      <c r="O105" s="10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s="2" customFormat="1">
      <c r="A106" s="1"/>
      <c r="B106" s="3"/>
      <c r="D106" s="9"/>
      <c r="E106" s="9"/>
      <c r="F106" s="9"/>
      <c r="G106" s="9"/>
      <c r="H106" s="35"/>
      <c r="I106" s="9"/>
      <c r="J106" s="9"/>
      <c r="K106" s="9"/>
      <c r="L106" s="9"/>
      <c r="M106" s="9"/>
      <c r="N106" s="9"/>
      <c r="O106" s="10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s="2" customFormat="1">
      <c r="A107" s="1"/>
      <c r="B107" s="3"/>
      <c r="D107" s="9"/>
      <c r="E107" s="9"/>
      <c r="F107" s="9"/>
      <c r="G107" s="9"/>
      <c r="H107" s="35"/>
      <c r="I107" s="9"/>
      <c r="J107" s="9"/>
      <c r="K107" s="9"/>
      <c r="L107" s="9"/>
      <c r="M107" s="9"/>
      <c r="N107" s="9"/>
      <c r="O107" s="10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s="2" customFormat="1">
      <c r="A108" s="1"/>
      <c r="B108" s="3"/>
      <c r="D108" s="9"/>
      <c r="E108" s="9"/>
      <c r="F108" s="9"/>
      <c r="G108" s="9"/>
      <c r="H108" s="35"/>
      <c r="I108" s="9"/>
      <c r="J108" s="9"/>
      <c r="K108" s="9"/>
      <c r="L108" s="9"/>
      <c r="M108" s="9"/>
      <c r="N108" s="9"/>
      <c r="O108" s="10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s="2" customFormat="1">
      <c r="A109" s="1"/>
      <c r="B109" s="3"/>
      <c r="D109" s="9"/>
      <c r="E109" s="9"/>
      <c r="F109" s="9"/>
      <c r="G109" s="9"/>
      <c r="H109" s="35"/>
      <c r="I109" s="9"/>
      <c r="J109" s="9"/>
      <c r="K109" s="9"/>
      <c r="L109" s="9"/>
      <c r="M109" s="9"/>
      <c r="N109" s="9"/>
      <c r="O109" s="10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s="2" customFormat="1">
      <c r="A110" s="1"/>
      <c r="B110" s="3"/>
      <c r="D110" s="9"/>
      <c r="E110" s="9"/>
      <c r="F110" s="9"/>
      <c r="G110" s="9"/>
      <c r="H110" s="35"/>
      <c r="I110" s="9"/>
      <c r="J110" s="9"/>
      <c r="K110" s="9"/>
      <c r="L110" s="9"/>
      <c r="M110" s="9"/>
      <c r="N110" s="9"/>
      <c r="O110" s="10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s="2" customFormat="1">
      <c r="A111" s="1"/>
      <c r="B111" s="3"/>
      <c r="D111" s="9"/>
      <c r="E111" s="9"/>
      <c r="F111" s="9"/>
      <c r="G111" s="9"/>
      <c r="H111" s="35"/>
      <c r="I111" s="9"/>
      <c r="J111" s="9"/>
      <c r="K111" s="9"/>
      <c r="L111" s="9"/>
      <c r="M111" s="9"/>
      <c r="N111" s="9"/>
      <c r="O111" s="10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s="2" customFormat="1">
      <c r="A112" s="1"/>
      <c r="B112" s="3"/>
      <c r="D112" s="9"/>
      <c r="E112" s="9"/>
      <c r="F112" s="9"/>
      <c r="G112" s="9"/>
      <c r="H112" s="35"/>
      <c r="I112" s="9"/>
      <c r="J112" s="9"/>
      <c r="K112" s="9"/>
      <c r="L112" s="9"/>
      <c r="M112" s="9"/>
      <c r="N112" s="9"/>
      <c r="O112" s="10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s="2" customFormat="1">
      <c r="A113" s="1"/>
      <c r="B113" s="3"/>
      <c r="D113" s="9"/>
      <c r="E113" s="9"/>
      <c r="F113" s="9"/>
      <c r="G113" s="9"/>
      <c r="H113" s="35"/>
      <c r="I113" s="9"/>
      <c r="J113" s="9"/>
      <c r="K113" s="9"/>
      <c r="L113" s="9"/>
      <c r="M113" s="9"/>
      <c r="N113" s="9"/>
      <c r="O113" s="10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s="2" customFormat="1">
      <c r="A114" s="1"/>
      <c r="B114" s="3"/>
      <c r="D114" s="9"/>
      <c r="E114" s="9"/>
      <c r="F114" s="9"/>
      <c r="G114" s="9"/>
      <c r="H114" s="35"/>
      <c r="I114" s="9"/>
      <c r="J114" s="9"/>
      <c r="K114" s="9"/>
      <c r="L114" s="9"/>
      <c r="M114" s="9"/>
      <c r="N114" s="9"/>
      <c r="O114" s="10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s="2" customFormat="1">
      <c r="A115" s="1"/>
      <c r="B115" s="3"/>
      <c r="D115" s="9"/>
      <c r="E115" s="9"/>
      <c r="F115" s="9"/>
      <c r="G115" s="9"/>
      <c r="H115" s="35"/>
      <c r="I115" s="9"/>
      <c r="J115" s="9"/>
      <c r="K115" s="9"/>
      <c r="L115" s="9"/>
      <c r="M115" s="9"/>
      <c r="N115" s="9"/>
      <c r="O115" s="10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s="2" customFormat="1">
      <c r="A116" s="1"/>
      <c r="B116" s="3"/>
      <c r="D116" s="9"/>
      <c r="E116" s="9"/>
      <c r="F116" s="9"/>
      <c r="G116" s="9"/>
      <c r="H116" s="35"/>
      <c r="I116" s="9"/>
      <c r="J116" s="9"/>
      <c r="K116" s="9"/>
      <c r="L116" s="9"/>
      <c r="M116" s="9"/>
      <c r="N116" s="9"/>
      <c r="O116" s="10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s="2" customFormat="1">
      <c r="A117" s="1"/>
      <c r="B117" s="3"/>
      <c r="D117" s="9"/>
      <c r="E117" s="9"/>
      <c r="F117" s="9"/>
      <c r="G117" s="9"/>
      <c r="H117" s="35"/>
      <c r="I117" s="9"/>
      <c r="J117" s="9"/>
      <c r="K117" s="9"/>
      <c r="L117" s="9"/>
      <c r="M117" s="9"/>
      <c r="N117" s="9"/>
      <c r="O117" s="10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s="2" customFormat="1">
      <c r="A118" s="1"/>
      <c r="B118" s="3"/>
      <c r="D118" s="9"/>
      <c r="E118" s="9"/>
      <c r="F118" s="9"/>
      <c r="G118" s="9"/>
      <c r="H118" s="35"/>
      <c r="I118" s="9"/>
      <c r="J118" s="9"/>
      <c r="K118" s="9"/>
      <c r="L118" s="9"/>
      <c r="M118" s="9"/>
      <c r="N118" s="9"/>
      <c r="O118" s="10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s="2" customFormat="1">
      <c r="A119" s="1"/>
      <c r="B119" s="3"/>
      <c r="D119" s="9"/>
      <c r="E119" s="9"/>
      <c r="F119" s="9"/>
      <c r="G119" s="9"/>
      <c r="H119" s="35"/>
      <c r="I119" s="9"/>
      <c r="J119" s="9"/>
      <c r="K119" s="9"/>
      <c r="L119" s="9"/>
      <c r="M119" s="9"/>
      <c r="N119" s="9"/>
      <c r="O119" s="10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s="2" customFormat="1">
      <c r="A120" s="1"/>
      <c r="B120" s="3"/>
      <c r="D120" s="9"/>
      <c r="E120" s="9"/>
      <c r="F120" s="9"/>
      <c r="G120" s="9"/>
      <c r="H120" s="35"/>
      <c r="I120" s="9"/>
      <c r="J120" s="9"/>
      <c r="K120" s="9"/>
      <c r="L120" s="9"/>
      <c r="M120" s="9"/>
      <c r="N120" s="9"/>
      <c r="O120" s="10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s="2" customFormat="1">
      <c r="A121" s="1"/>
      <c r="B121" s="3"/>
      <c r="D121" s="9"/>
      <c r="E121" s="9"/>
      <c r="F121" s="9"/>
      <c r="G121" s="9"/>
      <c r="H121" s="35"/>
      <c r="I121" s="9"/>
      <c r="J121" s="9"/>
      <c r="K121" s="9"/>
      <c r="L121" s="9"/>
      <c r="M121" s="9"/>
      <c r="N121" s="9"/>
      <c r="O121" s="10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s="2" customFormat="1">
      <c r="A122" s="1"/>
      <c r="B122" s="3"/>
      <c r="D122" s="9"/>
      <c r="E122" s="9"/>
      <c r="F122" s="9"/>
      <c r="G122" s="9"/>
      <c r="H122" s="35"/>
      <c r="I122" s="9"/>
      <c r="J122" s="9"/>
      <c r="K122" s="9"/>
      <c r="L122" s="9"/>
      <c r="M122" s="9"/>
      <c r="N122" s="9"/>
      <c r="O122" s="10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s="2" customFormat="1">
      <c r="A123" s="1"/>
      <c r="B123" s="3"/>
      <c r="D123" s="9"/>
      <c r="E123" s="9"/>
      <c r="F123" s="9"/>
      <c r="G123" s="9"/>
      <c r="H123" s="35"/>
      <c r="I123" s="9"/>
      <c r="J123" s="9"/>
      <c r="K123" s="9"/>
      <c r="L123" s="9"/>
      <c r="M123" s="9"/>
      <c r="N123" s="9"/>
      <c r="O123" s="10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s="2" customFormat="1">
      <c r="A124" s="1"/>
      <c r="B124" s="3"/>
      <c r="D124" s="9"/>
      <c r="E124" s="9"/>
      <c r="F124" s="9"/>
      <c r="G124" s="9"/>
      <c r="H124" s="35"/>
      <c r="I124" s="9"/>
      <c r="J124" s="9"/>
      <c r="K124" s="9"/>
      <c r="L124" s="9"/>
      <c r="M124" s="9"/>
      <c r="N124" s="9"/>
      <c r="O124" s="10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s="2" customFormat="1">
      <c r="A125" s="1"/>
      <c r="B125" s="3"/>
      <c r="D125" s="9"/>
      <c r="E125" s="9"/>
      <c r="F125" s="9"/>
      <c r="G125" s="9"/>
      <c r="H125" s="35"/>
      <c r="I125" s="9"/>
      <c r="J125" s="9"/>
      <c r="K125" s="9"/>
      <c r="L125" s="9"/>
      <c r="M125" s="9"/>
      <c r="N125" s="9"/>
      <c r="O125" s="10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s="2" customFormat="1">
      <c r="A126" s="1"/>
      <c r="B126" s="3"/>
      <c r="D126" s="9"/>
      <c r="E126" s="9"/>
      <c r="F126" s="9"/>
      <c r="G126" s="9"/>
      <c r="H126" s="35"/>
      <c r="I126" s="9"/>
      <c r="J126" s="9"/>
      <c r="K126" s="9"/>
      <c r="L126" s="9"/>
      <c r="M126" s="9"/>
      <c r="N126" s="9"/>
      <c r="O126" s="10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s="2" customFormat="1">
      <c r="A127" s="1"/>
      <c r="B127" s="3"/>
      <c r="D127" s="9"/>
      <c r="E127" s="9"/>
      <c r="F127" s="9"/>
      <c r="G127" s="9"/>
      <c r="H127" s="35"/>
      <c r="I127" s="9"/>
      <c r="J127" s="9"/>
      <c r="K127" s="9"/>
      <c r="L127" s="9"/>
      <c r="M127" s="9"/>
      <c r="N127" s="9"/>
      <c r="O127" s="10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s="2" customFormat="1">
      <c r="A128" s="1"/>
      <c r="B128" s="3"/>
      <c r="D128" s="9"/>
      <c r="E128" s="9"/>
      <c r="F128" s="9"/>
      <c r="G128" s="9"/>
      <c r="H128" s="35"/>
      <c r="I128" s="9"/>
      <c r="J128" s="9"/>
      <c r="K128" s="9"/>
      <c r="L128" s="9"/>
      <c r="M128" s="9"/>
      <c r="N128" s="9"/>
      <c r="O128" s="10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s="2" customFormat="1">
      <c r="A129" s="1"/>
      <c r="B129" s="3"/>
      <c r="D129" s="9"/>
      <c r="E129" s="9"/>
      <c r="F129" s="9"/>
      <c r="G129" s="9"/>
      <c r="H129" s="35"/>
      <c r="I129" s="9"/>
      <c r="J129" s="9"/>
      <c r="K129" s="9"/>
      <c r="L129" s="9"/>
      <c r="M129" s="9"/>
      <c r="N129" s="9"/>
      <c r="O129" s="10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s="2" customFormat="1">
      <c r="A130" s="1"/>
      <c r="B130" s="3"/>
      <c r="D130" s="9"/>
      <c r="E130" s="9"/>
      <c r="F130" s="9"/>
      <c r="G130" s="9"/>
      <c r="H130" s="35"/>
      <c r="I130" s="9"/>
      <c r="J130" s="9"/>
      <c r="K130" s="9"/>
      <c r="L130" s="9"/>
      <c r="M130" s="9"/>
      <c r="N130" s="9"/>
      <c r="O130" s="10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s="2" customFormat="1">
      <c r="A131" s="1"/>
      <c r="B131" s="3"/>
      <c r="D131" s="9"/>
      <c r="E131" s="9"/>
      <c r="F131" s="9"/>
      <c r="G131" s="9"/>
      <c r="H131" s="35"/>
      <c r="I131" s="9"/>
      <c r="J131" s="9"/>
      <c r="K131" s="9"/>
      <c r="L131" s="9"/>
      <c r="M131" s="9"/>
      <c r="N131" s="9"/>
      <c r="O131" s="10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s="2" customFormat="1">
      <c r="A132" s="1"/>
      <c r="B132" s="3"/>
      <c r="D132" s="9"/>
      <c r="E132" s="9"/>
      <c r="F132" s="9"/>
      <c r="G132" s="9"/>
      <c r="H132" s="35"/>
      <c r="I132" s="9"/>
      <c r="J132" s="9"/>
      <c r="K132" s="9"/>
      <c r="L132" s="9"/>
      <c r="M132" s="9"/>
      <c r="N132" s="9"/>
      <c r="O132" s="10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s="2" customFormat="1">
      <c r="A133" s="1"/>
      <c r="B133" s="3"/>
      <c r="D133" s="9"/>
      <c r="E133" s="9"/>
      <c r="F133" s="9"/>
      <c r="G133" s="9"/>
      <c r="H133" s="35"/>
      <c r="I133" s="9"/>
      <c r="J133" s="9"/>
      <c r="K133" s="9"/>
      <c r="L133" s="9"/>
      <c r="M133" s="9"/>
      <c r="N133" s="9"/>
      <c r="O133" s="10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s="2" customFormat="1">
      <c r="A134" s="1"/>
      <c r="B134" s="3"/>
      <c r="D134" s="9"/>
      <c r="E134" s="9"/>
      <c r="F134" s="9"/>
      <c r="G134" s="9"/>
      <c r="H134" s="35"/>
      <c r="I134" s="9"/>
      <c r="J134" s="9"/>
      <c r="K134" s="9"/>
      <c r="L134" s="9"/>
      <c r="M134" s="9"/>
      <c r="N134" s="9"/>
      <c r="O134" s="10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s="2" customFormat="1">
      <c r="A135" s="1"/>
      <c r="B135" s="3"/>
      <c r="D135" s="9"/>
      <c r="E135" s="9"/>
      <c r="F135" s="9"/>
      <c r="G135" s="9"/>
      <c r="H135" s="35"/>
      <c r="I135" s="9"/>
      <c r="J135" s="9"/>
      <c r="K135" s="9"/>
      <c r="L135" s="9"/>
      <c r="M135" s="9"/>
      <c r="N135" s="9"/>
      <c r="O135" s="10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s="2" customFormat="1">
      <c r="A136" s="1"/>
      <c r="B136" s="3"/>
      <c r="D136" s="9"/>
      <c r="E136" s="9"/>
      <c r="F136" s="9"/>
      <c r="G136" s="9"/>
      <c r="H136" s="35"/>
      <c r="I136" s="9"/>
      <c r="J136" s="9"/>
      <c r="K136" s="9"/>
      <c r="L136" s="9"/>
      <c r="M136" s="9"/>
      <c r="N136" s="9"/>
      <c r="O136" s="10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s="2" customFormat="1">
      <c r="A137" s="1"/>
      <c r="B137" s="3"/>
      <c r="D137" s="9"/>
      <c r="E137" s="9"/>
      <c r="F137" s="9"/>
      <c r="G137" s="9"/>
      <c r="H137" s="35"/>
      <c r="I137" s="9"/>
      <c r="J137" s="9"/>
      <c r="K137" s="9"/>
      <c r="L137" s="9"/>
      <c r="M137" s="9"/>
      <c r="N137" s="9"/>
      <c r="O137" s="10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s="2" customFormat="1">
      <c r="A138" s="1"/>
      <c r="B138" s="3"/>
      <c r="D138" s="9"/>
      <c r="E138" s="9"/>
      <c r="F138" s="9"/>
      <c r="G138" s="9"/>
      <c r="H138" s="35"/>
      <c r="I138" s="9"/>
      <c r="J138" s="9"/>
      <c r="K138" s="9"/>
      <c r="L138" s="9"/>
      <c r="M138" s="9"/>
      <c r="N138" s="9"/>
      <c r="O138" s="10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s="2" customFormat="1">
      <c r="A139" s="1"/>
      <c r="B139" s="3"/>
      <c r="D139" s="9"/>
      <c r="E139" s="9"/>
      <c r="F139" s="9"/>
      <c r="G139" s="9"/>
      <c r="H139" s="35"/>
      <c r="I139" s="9"/>
      <c r="J139" s="9"/>
      <c r="K139" s="9"/>
      <c r="L139" s="9"/>
      <c r="M139" s="9"/>
      <c r="N139" s="9"/>
      <c r="O139" s="10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s="2" customFormat="1">
      <c r="A140" s="1"/>
      <c r="B140" s="3"/>
      <c r="D140" s="9"/>
      <c r="E140" s="9"/>
      <c r="F140" s="9"/>
      <c r="G140" s="9"/>
      <c r="H140" s="35"/>
      <c r="I140" s="9"/>
      <c r="J140" s="9"/>
      <c r="K140" s="9"/>
      <c r="L140" s="9"/>
      <c r="M140" s="9"/>
      <c r="N140" s="9"/>
      <c r="O140" s="10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s="2" customFormat="1">
      <c r="A141" s="1"/>
      <c r="B141" s="3"/>
      <c r="D141" s="9"/>
      <c r="E141" s="9"/>
      <c r="F141" s="9"/>
      <c r="G141" s="9"/>
      <c r="H141" s="35"/>
      <c r="I141" s="9"/>
      <c r="J141" s="9"/>
      <c r="K141" s="9"/>
      <c r="L141" s="9"/>
      <c r="M141" s="9"/>
      <c r="N141" s="9"/>
      <c r="O141" s="10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s="2" customFormat="1">
      <c r="A142" s="1"/>
      <c r="B142" s="3"/>
      <c r="D142" s="9"/>
      <c r="E142" s="9"/>
      <c r="F142" s="9"/>
      <c r="G142" s="9"/>
      <c r="H142" s="35"/>
      <c r="I142" s="9"/>
      <c r="J142" s="9"/>
      <c r="K142" s="9"/>
      <c r="L142" s="9"/>
      <c r="M142" s="9"/>
      <c r="N142" s="9"/>
      <c r="O142" s="10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s="2" customFormat="1">
      <c r="A143" s="1"/>
      <c r="B143" s="3"/>
      <c r="D143" s="9"/>
      <c r="E143" s="9"/>
      <c r="F143" s="9"/>
      <c r="G143" s="9"/>
      <c r="H143" s="35"/>
      <c r="I143" s="9"/>
      <c r="J143" s="9"/>
      <c r="K143" s="9"/>
      <c r="L143" s="9"/>
      <c r="M143" s="9"/>
      <c r="N143" s="9"/>
      <c r="O143" s="10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s="2" customFormat="1">
      <c r="A144" s="1"/>
      <c r="B144" s="3"/>
      <c r="D144" s="9"/>
      <c r="E144" s="9"/>
      <c r="F144" s="9"/>
      <c r="G144" s="9"/>
      <c r="H144" s="35"/>
      <c r="I144" s="9"/>
      <c r="J144" s="9"/>
      <c r="K144" s="9"/>
      <c r="L144" s="9"/>
      <c r="M144" s="9"/>
      <c r="N144" s="9"/>
      <c r="O144" s="10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s="2" customFormat="1">
      <c r="A145" s="1"/>
      <c r="B145" s="3"/>
      <c r="D145" s="9"/>
      <c r="E145" s="9"/>
      <c r="F145" s="9"/>
      <c r="G145" s="9"/>
      <c r="H145" s="35"/>
      <c r="I145" s="9"/>
      <c r="J145" s="9"/>
      <c r="K145" s="9"/>
      <c r="L145" s="9"/>
      <c r="M145" s="9"/>
      <c r="N145" s="9"/>
      <c r="O145" s="10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s="2" customFormat="1">
      <c r="A146" s="1"/>
      <c r="B146" s="3"/>
      <c r="D146" s="9"/>
      <c r="E146" s="9"/>
      <c r="F146" s="9"/>
      <c r="G146" s="9"/>
      <c r="H146" s="35"/>
      <c r="I146" s="9"/>
      <c r="J146" s="9"/>
      <c r="K146" s="9"/>
      <c r="L146" s="9"/>
      <c r="M146" s="9"/>
      <c r="N146" s="9"/>
      <c r="O146" s="10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s="2" customFormat="1">
      <c r="A147" s="1"/>
      <c r="B147" s="3"/>
      <c r="D147" s="9"/>
      <c r="E147" s="9"/>
      <c r="F147" s="9"/>
      <c r="G147" s="9"/>
      <c r="H147" s="35"/>
      <c r="I147" s="9"/>
      <c r="J147" s="9"/>
      <c r="K147" s="9"/>
      <c r="L147" s="9"/>
      <c r="M147" s="9"/>
      <c r="N147" s="9"/>
      <c r="O147" s="10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s="2" customFormat="1">
      <c r="A148" s="1"/>
      <c r="B148" s="3"/>
      <c r="D148" s="9"/>
      <c r="E148" s="9"/>
      <c r="F148" s="9"/>
      <c r="G148" s="9"/>
      <c r="H148" s="35"/>
      <c r="I148" s="9"/>
      <c r="J148" s="9"/>
      <c r="K148" s="9"/>
      <c r="L148" s="9"/>
      <c r="M148" s="9"/>
      <c r="N148" s="9"/>
      <c r="O148" s="10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s="2" customFormat="1">
      <c r="A149" s="1"/>
      <c r="B149" s="3"/>
      <c r="D149" s="9"/>
      <c r="E149" s="9"/>
      <c r="F149" s="9"/>
      <c r="G149" s="9"/>
      <c r="H149" s="35"/>
      <c r="I149" s="9"/>
      <c r="J149" s="9"/>
      <c r="K149" s="9"/>
      <c r="L149" s="9"/>
      <c r="M149" s="9"/>
      <c r="N149" s="9"/>
      <c r="O149" s="10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s="2" customFormat="1">
      <c r="A150" s="1"/>
      <c r="B150" s="3"/>
      <c r="D150" s="9"/>
      <c r="E150" s="9"/>
      <c r="F150" s="9"/>
      <c r="G150" s="9"/>
      <c r="H150" s="35"/>
      <c r="I150" s="9"/>
      <c r="J150" s="9"/>
      <c r="K150" s="9"/>
      <c r="L150" s="9"/>
      <c r="M150" s="9"/>
      <c r="N150" s="9"/>
      <c r="O150" s="10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s="2" customFormat="1">
      <c r="A151" s="1"/>
      <c r="B151" s="3"/>
      <c r="D151" s="9"/>
      <c r="E151" s="9"/>
      <c r="F151" s="9"/>
      <c r="G151" s="9"/>
      <c r="H151" s="35"/>
      <c r="I151" s="9"/>
      <c r="J151" s="9"/>
      <c r="K151" s="9"/>
      <c r="L151" s="9"/>
      <c r="M151" s="9"/>
      <c r="N151" s="9"/>
      <c r="O151" s="10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s="2" customFormat="1">
      <c r="A152" s="1"/>
      <c r="B152" s="3"/>
      <c r="D152" s="9"/>
      <c r="E152" s="9"/>
      <c r="F152" s="9"/>
      <c r="G152" s="9"/>
      <c r="H152" s="35"/>
      <c r="I152" s="9"/>
      <c r="J152" s="9"/>
      <c r="K152" s="9"/>
      <c r="L152" s="9"/>
      <c r="M152" s="9"/>
      <c r="N152" s="9"/>
      <c r="O152" s="10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s="2" customFormat="1">
      <c r="A153" s="1"/>
      <c r="B153" s="3"/>
      <c r="D153" s="9"/>
      <c r="E153" s="9"/>
      <c r="F153" s="9"/>
      <c r="G153" s="9"/>
      <c r="H153" s="35"/>
      <c r="I153" s="9"/>
      <c r="J153" s="9"/>
      <c r="K153" s="9"/>
      <c r="L153" s="9"/>
      <c r="M153" s="9"/>
      <c r="N153" s="9"/>
      <c r="O153" s="10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s="2" customFormat="1">
      <c r="A154" s="1"/>
      <c r="B154" s="3"/>
      <c r="D154" s="9"/>
      <c r="E154" s="9"/>
      <c r="F154" s="9"/>
      <c r="G154" s="9"/>
      <c r="H154" s="35"/>
      <c r="I154" s="9"/>
      <c r="J154" s="9"/>
      <c r="K154" s="9"/>
      <c r="L154" s="9"/>
      <c r="M154" s="9"/>
      <c r="N154" s="9"/>
      <c r="O154" s="10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s="2" customFormat="1">
      <c r="A155" s="1"/>
      <c r="B155" s="3"/>
      <c r="D155" s="9"/>
      <c r="E155" s="9"/>
      <c r="F155" s="9"/>
      <c r="G155" s="9"/>
      <c r="H155" s="35"/>
      <c r="I155" s="9"/>
      <c r="J155" s="9"/>
      <c r="K155" s="9"/>
      <c r="L155" s="9"/>
      <c r="M155" s="9"/>
      <c r="N155" s="9"/>
      <c r="O155" s="10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s="2" customFormat="1">
      <c r="A156" s="1"/>
      <c r="B156" s="3"/>
      <c r="D156" s="9"/>
      <c r="E156" s="9"/>
      <c r="F156" s="9"/>
      <c r="G156" s="9"/>
      <c r="H156" s="35"/>
      <c r="I156" s="9"/>
      <c r="J156" s="9"/>
      <c r="K156" s="9"/>
      <c r="L156" s="9"/>
      <c r="M156" s="9"/>
      <c r="N156" s="9"/>
      <c r="O156" s="10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s="2" customFormat="1">
      <c r="A157" s="1"/>
      <c r="B157" s="3"/>
      <c r="D157" s="9"/>
      <c r="E157" s="9"/>
      <c r="F157" s="9"/>
      <c r="G157" s="9"/>
      <c r="H157" s="35"/>
      <c r="I157" s="9"/>
      <c r="J157" s="9"/>
      <c r="K157" s="9"/>
      <c r="L157" s="9"/>
      <c r="M157" s="9"/>
      <c r="N157" s="9"/>
      <c r="O157" s="10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s="2" customFormat="1">
      <c r="A158" s="1"/>
      <c r="B158" s="3"/>
      <c r="D158" s="9"/>
      <c r="E158" s="9"/>
      <c r="F158" s="9"/>
      <c r="G158" s="9"/>
      <c r="H158" s="35"/>
      <c r="I158" s="9"/>
      <c r="J158" s="9"/>
      <c r="K158" s="9"/>
      <c r="L158" s="9"/>
      <c r="M158" s="9"/>
      <c r="N158" s="9"/>
      <c r="O158" s="10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s="2" customFormat="1">
      <c r="A159" s="1"/>
      <c r="B159" s="3"/>
      <c r="D159" s="9"/>
      <c r="E159" s="9"/>
      <c r="F159" s="9"/>
      <c r="G159" s="9"/>
      <c r="H159" s="35"/>
      <c r="I159" s="9"/>
      <c r="J159" s="9"/>
      <c r="K159" s="9"/>
      <c r="L159" s="9"/>
      <c r="M159" s="9"/>
      <c r="N159" s="9"/>
      <c r="O159" s="10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s="2" customFormat="1">
      <c r="A160" s="1"/>
      <c r="B160" s="3"/>
      <c r="D160" s="9"/>
      <c r="E160" s="9"/>
      <c r="F160" s="9"/>
      <c r="G160" s="9"/>
      <c r="H160" s="35"/>
      <c r="I160" s="9"/>
      <c r="J160" s="9"/>
      <c r="K160" s="9"/>
      <c r="L160" s="9"/>
      <c r="M160" s="9"/>
      <c r="N160" s="9"/>
      <c r="O160" s="10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s="2" customFormat="1">
      <c r="A161" s="1"/>
      <c r="B161" s="3"/>
      <c r="D161" s="9"/>
      <c r="E161" s="9"/>
      <c r="F161" s="9"/>
      <c r="G161" s="9"/>
      <c r="H161" s="35"/>
      <c r="I161" s="9"/>
      <c r="J161" s="9"/>
      <c r="K161" s="9"/>
      <c r="L161" s="9"/>
      <c r="M161" s="9"/>
      <c r="N161" s="9"/>
      <c r="O161" s="10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s="2" customFormat="1">
      <c r="A162" s="1"/>
      <c r="B162" s="3"/>
      <c r="D162" s="9"/>
      <c r="E162" s="9"/>
      <c r="F162" s="9"/>
      <c r="G162" s="9"/>
      <c r="H162" s="35"/>
      <c r="I162" s="9"/>
      <c r="J162" s="9"/>
      <c r="K162" s="9"/>
      <c r="L162" s="9"/>
      <c r="M162" s="9"/>
      <c r="N162" s="9"/>
      <c r="O162" s="10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s="2" customFormat="1">
      <c r="A163" s="1"/>
      <c r="B163" s="3"/>
      <c r="D163" s="9"/>
      <c r="E163" s="9"/>
      <c r="F163" s="9"/>
      <c r="G163" s="9"/>
      <c r="H163" s="35"/>
      <c r="I163" s="9"/>
      <c r="J163" s="9"/>
      <c r="K163" s="9"/>
      <c r="L163" s="9"/>
      <c r="M163" s="9"/>
      <c r="N163" s="9"/>
      <c r="O163" s="10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s="2" customFormat="1">
      <c r="A164" s="1"/>
      <c r="B164" s="3"/>
      <c r="D164" s="9"/>
      <c r="E164" s="9"/>
      <c r="F164" s="9"/>
      <c r="G164" s="9"/>
      <c r="H164" s="35"/>
      <c r="I164" s="9"/>
      <c r="J164" s="9"/>
      <c r="K164" s="9"/>
      <c r="L164" s="9"/>
      <c r="M164" s="9"/>
      <c r="N164" s="9"/>
      <c r="O164" s="10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s="2" customFormat="1">
      <c r="A165" s="1"/>
      <c r="B165" s="3"/>
      <c r="D165" s="9"/>
      <c r="E165" s="9"/>
      <c r="F165" s="9"/>
      <c r="G165" s="9"/>
      <c r="H165" s="35"/>
      <c r="I165" s="9"/>
      <c r="J165" s="9"/>
      <c r="K165" s="9"/>
      <c r="L165" s="9"/>
      <c r="M165" s="9"/>
      <c r="N165" s="9"/>
      <c r="O165" s="10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s="2" customFormat="1">
      <c r="A166" s="1"/>
      <c r="B166" s="3"/>
      <c r="D166" s="9"/>
      <c r="E166" s="9"/>
      <c r="F166" s="9"/>
      <c r="G166" s="9"/>
      <c r="H166" s="35"/>
      <c r="I166" s="9"/>
      <c r="J166" s="9"/>
      <c r="K166" s="9"/>
      <c r="L166" s="9"/>
      <c r="M166" s="9"/>
      <c r="N166" s="9"/>
      <c r="O166" s="10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s="2" customFormat="1">
      <c r="A167" s="1"/>
      <c r="B167" s="3"/>
      <c r="D167" s="9"/>
      <c r="E167" s="9"/>
      <c r="F167" s="9"/>
      <c r="G167" s="9"/>
      <c r="H167" s="35"/>
      <c r="I167" s="9"/>
      <c r="J167" s="9"/>
      <c r="K167" s="9"/>
      <c r="L167" s="9"/>
      <c r="M167" s="9"/>
      <c r="N167" s="9"/>
      <c r="O167" s="10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s="2" customFormat="1">
      <c r="A168" s="1"/>
      <c r="B168" s="3"/>
      <c r="D168" s="9"/>
      <c r="E168" s="9"/>
      <c r="F168" s="9"/>
      <c r="G168" s="9"/>
      <c r="H168" s="35"/>
      <c r="I168" s="9"/>
      <c r="J168" s="9"/>
      <c r="K168" s="9"/>
      <c r="L168" s="9"/>
      <c r="M168" s="9"/>
      <c r="N168" s="9"/>
      <c r="O168" s="10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s="2" customFormat="1">
      <c r="A169" s="1"/>
      <c r="B169" s="3"/>
      <c r="D169" s="9"/>
      <c r="E169" s="9"/>
      <c r="F169" s="9"/>
      <c r="G169" s="9"/>
      <c r="H169" s="35"/>
      <c r="I169" s="9"/>
      <c r="J169" s="9"/>
      <c r="K169" s="9"/>
      <c r="L169" s="9"/>
      <c r="M169" s="9"/>
      <c r="N169" s="9"/>
      <c r="O169" s="10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s="2" customFormat="1">
      <c r="A170" s="1"/>
      <c r="B170" s="3"/>
      <c r="D170" s="9"/>
      <c r="E170" s="9"/>
      <c r="F170" s="9"/>
      <c r="G170" s="9"/>
      <c r="H170" s="35"/>
      <c r="I170" s="9"/>
      <c r="J170" s="9"/>
      <c r="K170" s="9"/>
      <c r="L170" s="9"/>
      <c r="M170" s="9"/>
      <c r="N170" s="9"/>
      <c r="O170" s="10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s="2" customFormat="1">
      <c r="A171" s="1"/>
      <c r="B171" s="3"/>
      <c r="D171" s="9"/>
      <c r="E171" s="9"/>
      <c r="F171" s="9"/>
      <c r="G171" s="9"/>
      <c r="H171" s="35"/>
      <c r="I171" s="9"/>
      <c r="J171" s="9"/>
      <c r="K171" s="9"/>
      <c r="L171" s="9"/>
      <c r="M171" s="9"/>
      <c r="N171" s="9"/>
      <c r="O171" s="10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s="2" customFormat="1">
      <c r="A172" s="1"/>
      <c r="B172" s="3"/>
      <c r="D172" s="9"/>
      <c r="E172" s="9"/>
      <c r="F172" s="9"/>
      <c r="G172" s="9"/>
      <c r="H172" s="35"/>
      <c r="I172" s="9"/>
      <c r="J172" s="9"/>
      <c r="K172" s="9"/>
      <c r="L172" s="9"/>
      <c r="M172" s="9"/>
      <c r="N172" s="9"/>
      <c r="O172" s="10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s="2" customFormat="1">
      <c r="A173" s="1"/>
      <c r="B173" s="3"/>
      <c r="D173" s="9"/>
      <c r="E173" s="9"/>
      <c r="F173" s="9"/>
      <c r="G173" s="9"/>
      <c r="H173" s="35"/>
      <c r="I173" s="9"/>
      <c r="J173" s="9"/>
      <c r="K173" s="9"/>
      <c r="L173" s="9"/>
      <c r="M173" s="9"/>
      <c r="N173" s="9"/>
      <c r="O173" s="10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s="2" customFormat="1">
      <c r="A174" s="1"/>
      <c r="B174" s="3"/>
      <c r="D174" s="9"/>
      <c r="E174" s="9"/>
      <c r="F174" s="9"/>
      <c r="G174" s="9"/>
      <c r="H174" s="35"/>
      <c r="I174" s="9"/>
      <c r="J174" s="9"/>
      <c r="K174" s="9"/>
      <c r="L174" s="9"/>
      <c r="M174" s="9"/>
      <c r="N174" s="9"/>
      <c r="O174" s="10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s="2" customFormat="1">
      <c r="A175" s="1"/>
      <c r="B175" s="3"/>
      <c r="D175" s="9"/>
      <c r="E175" s="9"/>
      <c r="F175" s="9"/>
      <c r="G175" s="9"/>
      <c r="H175" s="35"/>
      <c r="I175" s="9"/>
      <c r="J175" s="9"/>
      <c r="K175" s="9"/>
      <c r="L175" s="9"/>
      <c r="M175" s="9"/>
      <c r="N175" s="9"/>
      <c r="O175" s="10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s="2" customFormat="1">
      <c r="A176" s="1"/>
      <c r="B176" s="3"/>
      <c r="D176" s="9"/>
      <c r="E176" s="9"/>
      <c r="F176" s="9"/>
      <c r="G176" s="9"/>
      <c r="H176" s="35"/>
      <c r="I176" s="9"/>
      <c r="J176" s="9"/>
      <c r="K176" s="9"/>
      <c r="L176" s="9"/>
      <c r="M176" s="9"/>
      <c r="N176" s="9"/>
      <c r="O176" s="10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s="2" customFormat="1">
      <c r="A177" s="1"/>
      <c r="B177" s="3"/>
      <c r="D177" s="9"/>
      <c r="E177" s="9"/>
      <c r="F177" s="9"/>
      <c r="G177" s="9"/>
      <c r="H177" s="35"/>
      <c r="I177" s="9"/>
      <c r="J177" s="9"/>
      <c r="K177" s="9"/>
      <c r="L177" s="9"/>
      <c r="M177" s="9"/>
      <c r="N177" s="9"/>
      <c r="O177" s="10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s="2" customFormat="1">
      <c r="A178" s="1"/>
      <c r="B178" s="3"/>
      <c r="D178" s="9"/>
      <c r="E178" s="9"/>
      <c r="F178" s="9"/>
      <c r="G178" s="9"/>
      <c r="H178" s="35"/>
      <c r="I178" s="9"/>
      <c r="J178" s="9"/>
      <c r="K178" s="9"/>
      <c r="L178" s="9"/>
      <c r="M178" s="9"/>
      <c r="N178" s="9"/>
      <c r="O178" s="10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s="2" customFormat="1">
      <c r="A179" s="1"/>
      <c r="B179" s="3"/>
      <c r="D179" s="9"/>
      <c r="E179" s="9"/>
      <c r="F179" s="9"/>
      <c r="G179" s="9"/>
      <c r="H179" s="35"/>
      <c r="I179" s="9"/>
      <c r="J179" s="9"/>
      <c r="K179" s="9"/>
      <c r="L179" s="9"/>
      <c r="M179" s="9"/>
      <c r="N179" s="9"/>
      <c r="O179" s="10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s="2" customFormat="1">
      <c r="A180" s="1"/>
      <c r="B180" s="3"/>
      <c r="D180" s="9"/>
      <c r="E180" s="9"/>
      <c r="F180" s="9"/>
      <c r="G180" s="9"/>
      <c r="H180" s="35"/>
      <c r="I180" s="9"/>
      <c r="J180" s="9"/>
      <c r="K180" s="9"/>
      <c r="L180" s="9"/>
      <c r="M180" s="9"/>
      <c r="N180" s="9"/>
      <c r="O180" s="10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s="2" customFormat="1">
      <c r="A181" s="1"/>
      <c r="B181" s="3"/>
      <c r="D181" s="9"/>
      <c r="E181" s="9"/>
      <c r="F181" s="9"/>
      <c r="G181" s="9"/>
      <c r="H181" s="35"/>
      <c r="I181" s="9"/>
      <c r="J181" s="9"/>
      <c r="K181" s="9"/>
      <c r="L181" s="9"/>
      <c r="M181" s="9"/>
      <c r="N181" s="9"/>
      <c r="O181" s="10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s="2" customFormat="1">
      <c r="A182" s="1"/>
      <c r="B182" s="3"/>
      <c r="D182" s="9"/>
      <c r="E182" s="9"/>
      <c r="F182" s="9"/>
      <c r="G182" s="9"/>
      <c r="H182" s="35"/>
      <c r="I182" s="9"/>
      <c r="J182" s="9"/>
      <c r="K182" s="9"/>
      <c r="L182" s="9"/>
      <c r="M182" s="9"/>
      <c r="N182" s="9"/>
      <c r="O182" s="10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s="2" customFormat="1">
      <c r="A183" s="1"/>
      <c r="B183" s="3"/>
      <c r="D183" s="9"/>
      <c r="E183" s="9"/>
      <c r="F183" s="9"/>
      <c r="G183" s="9"/>
      <c r="H183" s="35"/>
      <c r="I183" s="9"/>
      <c r="J183" s="9"/>
      <c r="K183" s="9"/>
      <c r="L183" s="9"/>
      <c r="M183" s="9"/>
      <c r="N183" s="9"/>
      <c r="O183" s="10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s="2" customFormat="1">
      <c r="A184" s="1"/>
      <c r="B184" s="3"/>
      <c r="D184" s="9"/>
      <c r="E184" s="9"/>
      <c r="F184" s="9"/>
      <c r="G184" s="9"/>
      <c r="H184" s="35"/>
      <c r="I184" s="9"/>
      <c r="J184" s="9"/>
      <c r="K184" s="9"/>
      <c r="L184" s="9"/>
      <c r="M184" s="9"/>
      <c r="N184" s="9"/>
      <c r="O184" s="10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s="2" customFormat="1">
      <c r="A185" s="1"/>
      <c r="B185" s="3"/>
      <c r="D185" s="9"/>
      <c r="E185" s="9"/>
      <c r="F185" s="9"/>
      <c r="G185" s="9"/>
      <c r="H185" s="35"/>
      <c r="I185" s="9"/>
      <c r="J185" s="9"/>
      <c r="K185" s="9"/>
      <c r="L185" s="9"/>
      <c r="M185" s="9"/>
      <c r="N185" s="9"/>
      <c r="O185" s="10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s="2" customFormat="1">
      <c r="A186" s="1"/>
      <c r="B186" s="3"/>
      <c r="D186" s="9"/>
      <c r="E186" s="9"/>
      <c r="F186" s="9"/>
      <c r="G186" s="9"/>
      <c r="H186" s="35"/>
      <c r="I186" s="9"/>
      <c r="J186" s="9"/>
      <c r="K186" s="9"/>
      <c r="L186" s="9"/>
      <c r="M186" s="9"/>
      <c r="N186" s="9"/>
      <c r="O186" s="10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s="2" customFormat="1">
      <c r="A187" s="1"/>
      <c r="B187" s="3"/>
      <c r="D187" s="9"/>
      <c r="E187" s="9"/>
      <c r="F187" s="9"/>
      <c r="G187" s="9"/>
      <c r="H187" s="35"/>
      <c r="I187" s="9"/>
      <c r="J187" s="9"/>
      <c r="K187" s="9"/>
      <c r="L187" s="9"/>
      <c r="M187" s="9"/>
      <c r="N187" s="9"/>
      <c r="O187" s="10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s="2" customFormat="1">
      <c r="A188" s="1"/>
      <c r="B188" s="3"/>
      <c r="D188" s="9"/>
      <c r="E188" s="9"/>
      <c r="F188" s="9"/>
      <c r="G188" s="9"/>
      <c r="H188" s="35"/>
      <c r="I188" s="9"/>
      <c r="J188" s="9"/>
      <c r="K188" s="9"/>
      <c r="L188" s="9"/>
      <c r="M188" s="9"/>
      <c r="N188" s="9"/>
      <c r="O188" s="10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s="2" customFormat="1">
      <c r="A189" s="1"/>
      <c r="B189" s="3"/>
      <c r="D189" s="9"/>
      <c r="E189" s="9"/>
      <c r="F189" s="9"/>
      <c r="G189" s="9"/>
      <c r="H189" s="35"/>
      <c r="I189" s="9"/>
      <c r="J189" s="9"/>
      <c r="K189" s="9"/>
      <c r="L189" s="9"/>
      <c r="M189" s="9"/>
      <c r="N189" s="9"/>
      <c r="O189" s="10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s="2" customFormat="1">
      <c r="A190" s="1"/>
      <c r="B190" s="3"/>
      <c r="D190" s="9"/>
      <c r="E190" s="9"/>
      <c r="F190" s="9"/>
      <c r="G190" s="9"/>
      <c r="H190" s="35"/>
      <c r="I190" s="9"/>
      <c r="J190" s="9"/>
      <c r="K190" s="9"/>
      <c r="L190" s="9"/>
      <c r="M190" s="9"/>
      <c r="N190" s="9"/>
      <c r="O190" s="10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s="2" customFormat="1">
      <c r="A191" s="1"/>
      <c r="B191" s="3"/>
      <c r="D191" s="9"/>
      <c r="E191" s="9"/>
      <c r="F191" s="9"/>
      <c r="G191" s="9"/>
      <c r="H191" s="35"/>
      <c r="I191" s="9"/>
      <c r="J191" s="9"/>
      <c r="K191" s="9"/>
      <c r="L191" s="9"/>
      <c r="M191" s="9"/>
      <c r="N191" s="9"/>
      <c r="O191" s="10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s="2" customFormat="1">
      <c r="A192" s="1"/>
      <c r="B192" s="3"/>
      <c r="D192" s="9"/>
      <c r="E192" s="9"/>
      <c r="F192" s="9"/>
      <c r="G192" s="9"/>
      <c r="H192" s="35"/>
      <c r="I192" s="9"/>
      <c r="J192" s="9"/>
      <c r="K192" s="9"/>
      <c r="L192" s="9"/>
      <c r="M192" s="9"/>
      <c r="N192" s="9"/>
      <c r="O192" s="10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s="2" customFormat="1">
      <c r="A193" s="1"/>
      <c r="B193" s="3"/>
      <c r="D193" s="9"/>
      <c r="E193" s="9"/>
      <c r="F193" s="9"/>
      <c r="G193" s="9"/>
      <c r="H193" s="35"/>
      <c r="I193" s="9"/>
      <c r="J193" s="9"/>
      <c r="K193" s="9"/>
      <c r="L193" s="9"/>
      <c r="M193" s="9"/>
      <c r="N193" s="9"/>
      <c r="O193" s="10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s="2" customFormat="1">
      <c r="A194" s="1"/>
      <c r="B194" s="3"/>
      <c r="D194" s="9"/>
      <c r="E194" s="9"/>
      <c r="F194" s="9"/>
      <c r="G194" s="9"/>
      <c r="H194" s="35"/>
      <c r="I194" s="9"/>
      <c r="J194" s="9"/>
      <c r="K194" s="9"/>
      <c r="L194" s="9"/>
      <c r="M194" s="9"/>
      <c r="N194" s="9"/>
      <c r="O194" s="10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s="2" customFormat="1">
      <c r="A195" s="1"/>
      <c r="B195" s="3"/>
      <c r="D195" s="9"/>
      <c r="E195" s="9"/>
      <c r="F195" s="9"/>
      <c r="G195" s="9"/>
      <c r="H195" s="35"/>
      <c r="I195" s="9"/>
      <c r="J195" s="9"/>
      <c r="K195" s="9"/>
      <c r="L195" s="9"/>
      <c r="M195" s="9"/>
      <c r="N195" s="9"/>
      <c r="O195" s="10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s="2" customFormat="1">
      <c r="A196" s="1"/>
      <c r="B196" s="3"/>
      <c r="D196" s="9"/>
      <c r="E196" s="9"/>
      <c r="F196" s="9"/>
      <c r="G196" s="9"/>
      <c r="H196" s="35"/>
      <c r="I196" s="9"/>
      <c r="J196" s="9"/>
      <c r="K196" s="9"/>
      <c r="L196" s="9"/>
      <c r="M196" s="9"/>
      <c r="N196" s="9"/>
      <c r="O196" s="10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s="2" customFormat="1">
      <c r="A197" s="1"/>
      <c r="B197" s="3"/>
      <c r="D197" s="9"/>
      <c r="E197" s="9"/>
      <c r="F197" s="9"/>
      <c r="G197" s="9"/>
      <c r="H197" s="35"/>
      <c r="I197" s="9"/>
      <c r="J197" s="9"/>
      <c r="K197" s="9"/>
      <c r="L197" s="9"/>
      <c r="M197" s="9"/>
      <c r="N197" s="9"/>
      <c r="O197" s="10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s="2" customFormat="1">
      <c r="A198" s="1"/>
      <c r="B198" s="3"/>
      <c r="D198" s="9"/>
      <c r="E198" s="9"/>
      <c r="F198" s="9"/>
      <c r="G198" s="9"/>
      <c r="H198" s="35"/>
      <c r="I198" s="9"/>
      <c r="J198" s="9"/>
      <c r="K198" s="9"/>
      <c r="L198" s="9"/>
      <c r="M198" s="9"/>
      <c r="N198" s="9"/>
      <c r="O198" s="10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s="2" customFormat="1">
      <c r="A199" s="1"/>
      <c r="B199" s="3"/>
      <c r="D199" s="9"/>
      <c r="E199" s="9"/>
      <c r="F199" s="9"/>
      <c r="G199" s="9"/>
      <c r="H199" s="35"/>
      <c r="I199" s="9"/>
      <c r="J199" s="9"/>
      <c r="K199" s="9"/>
      <c r="L199" s="9"/>
      <c r="M199" s="9"/>
      <c r="N199" s="9"/>
      <c r="O199" s="10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s="2" customFormat="1">
      <c r="A200" s="1"/>
      <c r="B200" s="3"/>
      <c r="D200" s="9"/>
      <c r="E200" s="9"/>
      <c r="F200" s="9"/>
      <c r="G200" s="9"/>
      <c r="H200" s="35"/>
      <c r="I200" s="9"/>
      <c r="J200" s="9"/>
      <c r="K200" s="9"/>
      <c r="L200" s="9"/>
      <c r="M200" s="9"/>
      <c r="N200" s="9"/>
      <c r="O200" s="10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s="2" customFormat="1">
      <c r="A201" s="1"/>
      <c r="B201" s="3"/>
      <c r="D201" s="9"/>
      <c r="E201" s="9"/>
      <c r="F201" s="9"/>
      <c r="G201" s="9"/>
      <c r="H201" s="35"/>
      <c r="I201" s="9"/>
      <c r="J201" s="9"/>
      <c r="K201" s="9"/>
      <c r="L201" s="9"/>
      <c r="M201" s="9"/>
      <c r="N201" s="9"/>
      <c r="O201" s="10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s="2" customFormat="1">
      <c r="A202" s="1"/>
      <c r="B202" s="3"/>
      <c r="D202" s="9"/>
      <c r="E202" s="9"/>
      <c r="F202" s="9"/>
      <c r="G202" s="9"/>
      <c r="H202" s="35"/>
      <c r="I202" s="9"/>
      <c r="J202" s="9"/>
      <c r="K202" s="9"/>
      <c r="L202" s="9"/>
      <c r="M202" s="9"/>
      <c r="N202" s="9"/>
      <c r="O202" s="10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s="2" customFormat="1">
      <c r="A203" s="1"/>
      <c r="B203" s="3"/>
      <c r="D203" s="9"/>
      <c r="E203" s="9"/>
      <c r="F203" s="9"/>
      <c r="G203" s="9"/>
      <c r="H203" s="35"/>
      <c r="I203" s="9"/>
      <c r="J203" s="9"/>
      <c r="K203" s="9"/>
      <c r="L203" s="9"/>
      <c r="M203" s="9"/>
      <c r="N203" s="9"/>
      <c r="O203" s="10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s="2" customFormat="1">
      <c r="A204" s="1"/>
      <c r="B204" s="3"/>
      <c r="D204" s="9"/>
      <c r="E204" s="9"/>
      <c r="F204" s="9"/>
      <c r="G204" s="9"/>
      <c r="H204" s="35"/>
      <c r="I204" s="9"/>
      <c r="J204" s="9"/>
      <c r="K204" s="9"/>
      <c r="L204" s="9"/>
      <c r="M204" s="9"/>
      <c r="N204" s="9"/>
      <c r="O204" s="10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s="2" customFormat="1">
      <c r="A205" s="1"/>
      <c r="B205" s="3"/>
      <c r="D205" s="9"/>
      <c r="E205" s="9"/>
      <c r="F205" s="9"/>
      <c r="G205" s="9"/>
      <c r="H205" s="35"/>
      <c r="I205" s="9"/>
      <c r="J205" s="9"/>
      <c r="K205" s="9"/>
      <c r="L205" s="9"/>
      <c r="M205" s="9"/>
      <c r="N205" s="9"/>
      <c r="O205" s="10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s="2" customFormat="1">
      <c r="A206" s="1"/>
      <c r="B206" s="3"/>
      <c r="D206" s="9"/>
      <c r="E206" s="9"/>
      <c r="F206" s="9"/>
      <c r="G206" s="9"/>
      <c r="H206" s="35"/>
      <c r="I206" s="9"/>
      <c r="J206" s="9"/>
      <c r="K206" s="9"/>
      <c r="L206" s="9"/>
      <c r="M206" s="9"/>
      <c r="N206" s="9"/>
      <c r="O206" s="10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s="2" customFormat="1">
      <c r="A207" s="1"/>
      <c r="B207" s="3"/>
      <c r="D207" s="9"/>
      <c r="E207" s="9"/>
      <c r="F207" s="9"/>
      <c r="G207" s="9"/>
      <c r="H207" s="35"/>
      <c r="I207" s="9"/>
      <c r="J207" s="9"/>
      <c r="K207" s="9"/>
      <c r="L207" s="9"/>
      <c r="M207" s="9"/>
      <c r="N207" s="9"/>
      <c r="O207" s="10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s="2" customFormat="1">
      <c r="A208" s="1"/>
      <c r="B208" s="3"/>
      <c r="D208" s="9"/>
      <c r="E208" s="9"/>
      <c r="F208" s="9"/>
      <c r="G208" s="9"/>
      <c r="H208" s="35"/>
      <c r="I208" s="9"/>
      <c r="J208" s="9"/>
      <c r="K208" s="9"/>
      <c r="L208" s="9"/>
      <c r="M208" s="9"/>
      <c r="N208" s="9"/>
      <c r="O208" s="10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s="2" customFormat="1">
      <c r="A209" s="1"/>
      <c r="B209" s="3"/>
      <c r="D209" s="9"/>
      <c r="E209" s="9"/>
      <c r="F209" s="9"/>
      <c r="G209" s="9"/>
      <c r="H209" s="35"/>
      <c r="I209" s="9"/>
      <c r="J209" s="9"/>
      <c r="K209" s="9"/>
      <c r="L209" s="9"/>
      <c r="M209" s="9"/>
      <c r="N209" s="9"/>
      <c r="O209" s="10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s="2" customFormat="1">
      <c r="A210" s="1"/>
      <c r="B210" s="3"/>
      <c r="D210" s="9"/>
      <c r="E210" s="9"/>
      <c r="F210" s="9"/>
      <c r="G210" s="9"/>
      <c r="H210" s="35"/>
      <c r="I210" s="9"/>
      <c r="J210" s="9"/>
      <c r="K210" s="9"/>
      <c r="L210" s="9"/>
      <c r="M210" s="9"/>
      <c r="N210" s="9"/>
      <c r="O210" s="10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s="2" customFormat="1">
      <c r="A211" s="1"/>
      <c r="B211" s="3"/>
      <c r="D211" s="9"/>
      <c r="E211" s="9"/>
      <c r="F211" s="9"/>
      <c r="G211" s="9"/>
      <c r="H211" s="35"/>
      <c r="I211" s="9"/>
      <c r="J211" s="9"/>
      <c r="K211" s="9"/>
      <c r="L211" s="9"/>
      <c r="M211" s="9"/>
      <c r="N211" s="9"/>
      <c r="O211" s="10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s="2" customFormat="1">
      <c r="A212" s="1"/>
      <c r="B212" s="3"/>
      <c r="D212" s="9"/>
      <c r="E212" s="9"/>
      <c r="F212" s="9"/>
      <c r="G212" s="9"/>
      <c r="H212" s="35"/>
      <c r="I212" s="9"/>
      <c r="J212" s="9"/>
      <c r="K212" s="9"/>
      <c r="L212" s="9"/>
      <c r="M212" s="9"/>
      <c r="N212" s="9"/>
      <c r="O212" s="10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s="2" customFormat="1">
      <c r="A213" s="1"/>
      <c r="B213" s="3"/>
      <c r="D213" s="9"/>
      <c r="E213" s="9"/>
      <c r="F213" s="9"/>
      <c r="G213" s="9"/>
      <c r="H213" s="35"/>
      <c r="I213" s="9"/>
      <c r="J213" s="9"/>
      <c r="K213" s="9"/>
      <c r="L213" s="9"/>
      <c r="M213" s="9"/>
      <c r="N213" s="9"/>
      <c r="O213" s="10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s="2" customFormat="1">
      <c r="A214" s="1"/>
      <c r="B214" s="3"/>
      <c r="D214" s="9"/>
      <c r="E214" s="9"/>
      <c r="F214" s="9"/>
      <c r="G214" s="9"/>
      <c r="H214" s="35"/>
      <c r="I214" s="9"/>
      <c r="J214" s="9"/>
      <c r="K214" s="9"/>
      <c r="L214" s="9"/>
      <c r="M214" s="9"/>
      <c r="N214" s="9"/>
      <c r="O214" s="10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s="2" customFormat="1">
      <c r="A215" s="1"/>
      <c r="B215" s="3"/>
      <c r="D215" s="9"/>
      <c r="E215" s="9"/>
      <c r="F215" s="9"/>
      <c r="G215" s="9"/>
      <c r="H215" s="35"/>
      <c r="I215" s="9"/>
      <c r="J215" s="9"/>
      <c r="K215" s="9"/>
      <c r="L215" s="9"/>
      <c r="M215" s="9"/>
      <c r="N215" s="9"/>
      <c r="O215" s="10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s="2" customFormat="1">
      <c r="A216" s="1"/>
      <c r="B216" s="3"/>
      <c r="D216" s="9"/>
      <c r="E216" s="9"/>
      <c r="F216" s="9"/>
      <c r="G216" s="9"/>
      <c r="H216" s="35"/>
      <c r="I216" s="9"/>
      <c r="J216" s="9"/>
      <c r="K216" s="9"/>
      <c r="L216" s="9"/>
      <c r="M216" s="9"/>
      <c r="N216" s="9"/>
      <c r="O216" s="10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s="2" customFormat="1">
      <c r="A217" s="1"/>
      <c r="B217" s="3"/>
      <c r="D217" s="9"/>
      <c r="E217" s="9"/>
      <c r="F217" s="9"/>
      <c r="G217" s="9"/>
      <c r="H217" s="35"/>
      <c r="I217" s="9"/>
      <c r="J217" s="9"/>
      <c r="K217" s="9"/>
      <c r="L217" s="9"/>
      <c r="M217" s="9"/>
      <c r="N217" s="9"/>
      <c r="O217" s="10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s="2" customFormat="1">
      <c r="A218" s="1"/>
      <c r="B218" s="3"/>
      <c r="D218" s="9"/>
      <c r="E218" s="9"/>
      <c r="F218" s="9"/>
      <c r="G218" s="9"/>
      <c r="H218" s="35"/>
      <c r="I218" s="9"/>
      <c r="J218" s="9"/>
      <c r="K218" s="9"/>
      <c r="L218" s="9"/>
      <c r="M218" s="9"/>
      <c r="N218" s="9"/>
      <c r="O218" s="10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s="2" customFormat="1">
      <c r="A219" s="1"/>
      <c r="B219" s="3"/>
      <c r="D219" s="9"/>
      <c r="E219" s="9"/>
      <c r="F219" s="9"/>
      <c r="G219" s="9"/>
      <c r="H219" s="35"/>
      <c r="I219" s="9"/>
      <c r="J219" s="9"/>
      <c r="K219" s="9"/>
      <c r="L219" s="9"/>
      <c r="M219" s="9"/>
      <c r="N219" s="9"/>
      <c r="O219" s="10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s="2" customFormat="1">
      <c r="A220" s="1"/>
      <c r="B220" s="3"/>
      <c r="D220" s="9"/>
      <c r="E220" s="9"/>
      <c r="F220" s="9"/>
      <c r="G220" s="9"/>
      <c r="H220" s="35"/>
      <c r="I220" s="9"/>
      <c r="J220" s="9"/>
      <c r="K220" s="9"/>
      <c r="L220" s="9"/>
      <c r="M220" s="9"/>
      <c r="N220" s="9"/>
      <c r="O220" s="10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s="2" customFormat="1">
      <c r="A221" s="1"/>
      <c r="B221" s="3"/>
      <c r="D221" s="9"/>
      <c r="E221" s="9"/>
      <c r="F221" s="9"/>
      <c r="G221" s="9"/>
      <c r="H221" s="35"/>
      <c r="I221" s="9"/>
      <c r="J221" s="9"/>
      <c r="K221" s="9"/>
      <c r="L221" s="9"/>
      <c r="M221" s="9"/>
      <c r="N221" s="9"/>
      <c r="O221" s="10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s="2" customFormat="1">
      <c r="A222" s="1"/>
      <c r="B222" s="3"/>
      <c r="D222" s="9"/>
      <c r="E222" s="9"/>
      <c r="F222" s="9"/>
      <c r="G222" s="9"/>
      <c r="H222" s="35"/>
      <c r="I222" s="9"/>
      <c r="J222" s="9"/>
      <c r="K222" s="9"/>
      <c r="L222" s="9"/>
      <c r="M222" s="9"/>
      <c r="N222" s="9"/>
      <c r="O222" s="10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s="2" customFormat="1">
      <c r="A223" s="1"/>
      <c r="B223" s="3"/>
      <c r="D223" s="9"/>
      <c r="E223" s="9"/>
      <c r="F223" s="9"/>
      <c r="G223" s="9"/>
      <c r="H223" s="35"/>
      <c r="I223" s="9"/>
      <c r="J223" s="9"/>
      <c r="K223" s="9"/>
      <c r="L223" s="9"/>
      <c r="M223" s="9"/>
      <c r="N223" s="9"/>
      <c r="O223" s="10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s="2" customFormat="1">
      <c r="A224" s="1"/>
      <c r="B224" s="3"/>
      <c r="D224" s="9"/>
      <c r="E224" s="9"/>
      <c r="F224" s="9"/>
      <c r="G224" s="9"/>
      <c r="H224" s="35"/>
      <c r="I224" s="9"/>
      <c r="J224" s="9"/>
      <c r="K224" s="9"/>
      <c r="L224" s="9"/>
      <c r="M224" s="9"/>
      <c r="N224" s="9"/>
      <c r="O224" s="10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s="2" customFormat="1">
      <c r="A225" s="1"/>
      <c r="B225" s="3"/>
      <c r="D225" s="9"/>
      <c r="E225" s="9"/>
      <c r="F225" s="9"/>
      <c r="G225" s="9"/>
      <c r="H225" s="35"/>
      <c r="I225" s="9"/>
      <c r="J225" s="9"/>
      <c r="K225" s="9"/>
      <c r="L225" s="9"/>
      <c r="M225" s="9"/>
      <c r="N225" s="9"/>
      <c r="O225" s="10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s="2" customFormat="1">
      <c r="A226" s="1"/>
      <c r="B226" s="3"/>
      <c r="D226" s="9"/>
      <c r="E226" s="9"/>
      <c r="F226" s="9"/>
      <c r="G226" s="9"/>
      <c r="H226" s="35"/>
      <c r="I226" s="9"/>
      <c r="J226" s="9"/>
      <c r="K226" s="9"/>
      <c r="L226" s="9"/>
      <c r="M226" s="9"/>
      <c r="N226" s="9"/>
      <c r="O226" s="10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s="2" customFormat="1">
      <c r="A227" s="1"/>
      <c r="B227" s="3"/>
      <c r="D227" s="9"/>
      <c r="E227" s="9"/>
      <c r="F227" s="9"/>
      <c r="G227" s="9"/>
      <c r="H227" s="35"/>
      <c r="I227" s="9"/>
      <c r="J227" s="9"/>
      <c r="K227" s="9"/>
      <c r="L227" s="9"/>
      <c r="M227" s="9"/>
      <c r="N227" s="9"/>
      <c r="O227" s="10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s="2" customFormat="1">
      <c r="A228" s="1"/>
      <c r="B228" s="3"/>
      <c r="D228" s="9"/>
      <c r="E228" s="9"/>
      <c r="F228" s="9"/>
      <c r="G228" s="9"/>
      <c r="H228" s="35"/>
      <c r="I228" s="9"/>
      <c r="J228" s="9"/>
      <c r="K228" s="9"/>
      <c r="L228" s="9"/>
      <c r="M228" s="9"/>
      <c r="N228" s="9"/>
      <c r="O228" s="10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s="2" customFormat="1">
      <c r="A229" s="1"/>
      <c r="B229" s="3"/>
      <c r="D229" s="9"/>
      <c r="E229" s="9"/>
      <c r="F229" s="9"/>
      <c r="G229" s="9"/>
      <c r="H229" s="35"/>
      <c r="I229" s="9"/>
      <c r="J229" s="9"/>
      <c r="K229" s="9"/>
      <c r="L229" s="9"/>
      <c r="M229" s="9"/>
      <c r="N229" s="9"/>
      <c r="O229" s="10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s="2" customFormat="1">
      <c r="A230" s="1"/>
      <c r="B230" s="3"/>
      <c r="D230" s="9"/>
      <c r="E230" s="9"/>
      <c r="F230" s="9"/>
      <c r="G230" s="9"/>
      <c r="H230" s="35"/>
      <c r="I230" s="9"/>
      <c r="J230" s="9"/>
      <c r="K230" s="9"/>
      <c r="L230" s="9"/>
      <c r="M230" s="9"/>
      <c r="N230" s="9"/>
      <c r="O230" s="10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s="2" customFormat="1">
      <c r="A231" s="1"/>
      <c r="B231" s="3"/>
      <c r="D231" s="9"/>
      <c r="E231" s="9"/>
      <c r="F231" s="9"/>
      <c r="G231" s="9"/>
      <c r="H231" s="35"/>
      <c r="I231" s="9"/>
      <c r="J231" s="9"/>
      <c r="K231" s="9"/>
      <c r="L231" s="9"/>
      <c r="M231" s="9"/>
      <c r="N231" s="9"/>
      <c r="O231" s="10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s="2" customFormat="1">
      <c r="A232" s="1"/>
      <c r="B232" s="3"/>
      <c r="D232" s="9"/>
      <c r="E232" s="9"/>
      <c r="F232" s="9"/>
      <c r="G232" s="9"/>
      <c r="H232" s="35"/>
      <c r="I232" s="9"/>
      <c r="J232" s="9"/>
      <c r="K232" s="9"/>
      <c r="L232" s="9"/>
      <c r="M232" s="9"/>
      <c r="N232" s="9"/>
      <c r="O232" s="10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s="2" customFormat="1">
      <c r="A233" s="1"/>
      <c r="B233" s="3"/>
      <c r="D233" s="9"/>
      <c r="E233" s="9"/>
      <c r="F233" s="9"/>
      <c r="G233" s="9"/>
      <c r="H233" s="35"/>
      <c r="I233" s="9"/>
      <c r="J233" s="9"/>
      <c r="K233" s="9"/>
      <c r="L233" s="9"/>
      <c r="M233" s="9"/>
      <c r="N233" s="9"/>
      <c r="O233" s="10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s="2" customFormat="1">
      <c r="A234" s="1"/>
      <c r="B234" s="3"/>
      <c r="D234" s="9"/>
      <c r="E234" s="9"/>
      <c r="F234" s="9"/>
      <c r="G234" s="9"/>
      <c r="H234" s="35"/>
      <c r="I234" s="9"/>
      <c r="J234" s="9"/>
      <c r="K234" s="9"/>
      <c r="L234" s="9"/>
      <c r="M234" s="9"/>
      <c r="N234" s="9"/>
      <c r="O234" s="10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s="2" customFormat="1">
      <c r="A235" s="1"/>
      <c r="B235" s="3"/>
      <c r="D235" s="9"/>
      <c r="E235" s="9"/>
      <c r="F235" s="9"/>
      <c r="G235" s="9"/>
      <c r="H235" s="35"/>
      <c r="I235" s="9"/>
      <c r="J235" s="9"/>
      <c r="K235" s="9"/>
      <c r="L235" s="9"/>
      <c r="M235" s="9"/>
      <c r="N235" s="9"/>
      <c r="O235" s="10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s="2" customFormat="1">
      <c r="A236" s="1"/>
      <c r="B236" s="3"/>
      <c r="D236" s="9"/>
      <c r="E236" s="9"/>
      <c r="F236" s="9"/>
      <c r="G236" s="9"/>
      <c r="H236" s="35"/>
      <c r="I236" s="9"/>
      <c r="J236" s="9"/>
      <c r="K236" s="9"/>
      <c r="L236" s="9"/>
      <c r="M236" s="9"/>
      <c r="N236" s="9"/>
      <c r="O236" s="10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s="2" customFormat="1">
      <c r="A237" s="1"/>
      <c r="B237" s="3"/>
      <c r="D237" s="9"/>
      <c r="E237" s="9"/>
      <c r="F237" s="9"/>
      <c r="G237" s="9"/>
      <c r="H237" s="35"/>
      <c r="I237" s="9"/>
      <c r="J237" s="9"/>
      <c r="K237" s="9"/>
      <c r="L237" s="9"/>
      <c r="M237" s="9"/>
      <c r="N237" s="9"/>
      <c r="O237" s="10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s="2" customFormat="1">
      <c r="A238" s="1"/>
      <c r="B238" s="3"/>
      <c r="D238" s="9"/>
      <c r="E238" s="9"/>
      <c r="F238" s="9"/>
      <c r="G238" s="9"/>
      <c r="H238" s="35"/>
      <c r="I238" s="9"/>
      <c r="J238" s="9"/>
      <c r="K238" s="9"/>
      <c r="L238" s="9"/>
      <c r="M238" s="9"/>
      <c r="N238" s="9"/>
      <c r="O238" s="10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s="2" customFormat="1">
      <c r="A239" s="1"/>
      <c r="B239" s="3"/>
      <c r="D239" s="9"/>
      <c r="E239" s="9"/>
      <c r="F239" s="9"/>
      <c r="G239" s="9"/>
      <c r="H239" s="35"/>
      <c r="I239" s="9"/>
      <c r="J239" s="9"/>
      <c r="K239" s="9"/>
      <c r="L239" s="9"/>
      <c r="M239" s="9"/>
      <c r="N239" s="9"/>
      <c r="O239" s="10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s="2" customFormat="1">
      <c r="A240" s="1"/>
      <c r="B240" s="3"/>
      <c r="D240" s="9"/>
      <c r="E240" s="9"/>
      <c r="F240" s="9"/>
      <c r="G240" s="9"/>
      <c r="H240" s="35"/>
      <c r="I240" s="9"/>
      <c r="J240" s="9"/>
      <c r="K240" s="9"/>
      <c r="L240" s="9"/>
      <c r="M240" s="9"/>
      <c r="N240" s="9"/>
      <c r="O240" s="10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s="2" customFormat="1">
      <c r="A241" s="1"/>
      <c r="B241" s="3"/>
      <c r="D241" s="9"/>
      <c r="E241" s="9"/>
      <c r="F241" s="9"/>
      <c r="G241" s="9"/>
      <c r="H241" s="35"/>
      <c r="I241" s="9"/>
      <c r="J241" s="9"/>
      <c r="K241" s="9"/>
      <c r="L241" s="9"/>
      <c r="M241" s="9"/>
      <c r="N241" s="9"/>
      <c r="O241" s="10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s="2" customFormat="1">
      <c r="A242" s="1"/>
      <c r="B242" s="3"/>
      <c r="D242" s="9"/>
      <c r="E242" s="9"/>
      <c r="F242" s="9"/>
      <c r="G242" s="9"/>
      <c r="H242" s="35"/>
      <c r="I242" s="9"/>
      <c r="J242" s="9"/>
      <c r="K242" s="9"/>
      <c r="L242" s="9"/>
      <c r="M242" s="9"/>
      <c r="N242" s="9"/>
      <c r="O242" s="10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s="2" customFormat="1">
      <c r="A243" s="1"/>
      <c r="B243" s="3"/>
      <c r="D243" s="9"/>
      <c r="E243" s="9"/>
      <c r="F243" s="9"/>
      <c r="G243" s="9"/>
      <c r="H243" s="35"/>
      <c r="I243" s="9"/>
      <c r="J243" s="9"/>
      <c r="K243" s="9"/>
      <c r="L243" s="9"/>
      <c r="M243" s="9"/>
      <c r="N243" s="9"/>
      <c r="O243" s="10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s="2" customFormat="1">
      <c r="A244" s="1"/>
      <c r="B244" s="3"/>
      <c r="D244" s="9"/>
      <c r="E244" s="9"/>
      <c r="F244" s="9"/>
      <c r="G244" s="9"/>
      <c r="H244" s="35"/>
      <c r="I244" s="9"/>
      <c r="J244" s="9"/>
      <c r="K244" s="9"/>
      <c r="L244" s="9"/>
      <c r="M244" s="9"/>
      <c r="N244" s="9"/>
      <c r="O244" s="10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s="2" customFormat="1">
      <c r="A245" s="1"/>
      <c r="B245" s="3"/>
      <c r="D245" s="9"/>
      <c r="E245" s="9"/>
      <c r="F245" s="9"/>
      <c r="G245" s="9"/>
      <c r="H245" s="35"/>
      <c r="I245" s="9"/>
      <c r="J245" s="9"/>
      <c r="K245" s="9"/>
      <c r="L245" s="9"/>
      <c r="M245" s="9"/>
      <c r="N245" s="9"/>
      <c r="O245" s="10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s="2" customFormat="1">
      <c r="A246" s="1"/>
      <c r="B246" s="3"/>
      <c r="D246" s="9"/>
      <c r="E246" s="9"/>
      <c r="F246" s="9"/>
      <c r="G246" s="9"/>
      <c r="H246" s="35"/>
      <c r="I246" s="9"/>
      <c r="J246" s="9"/>
      <c r="K246" s="9"/>
      <c r="L246" s="9"/>
      <c r="M246" s="9"/>
      <c r="N246" s="9"/>
      <c r="O246" s="10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s="2" customFormat="1">
      <c r="A247" s="1"/>
      <c r="B247" s="3"/>
      <c r="D247" s="9"/>
      <c r="E247" s="9"/>
      <c r="F247" s="9"/>
      <c r="G247" s="9"/>
      <c r="H247" s="35"/>
      <c r="I247" s="9"/>
      <c r="J247" s="9"/>
      <c r="K247" s="9"/>
      <c r="L247" s="9"/>
      <c r="M247" s="9"/>
      <c r="N247" s="9"/>
      <c r="O247" s="10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s="2" customFormat="1">
      <c r="A248" s="1"/>
      <c r="B248" s="3"/>
      <c r="D248" s="9"/>
      <c r="E248" s="9"/>
      <c r="F248" s="9"/>
      <c r="G248" s="9"/>
      <c r="H248" s="35"/>
      <c r="I248" s="9"/>
      <c r="J248" s="9"/>
      <c r="K248" s="9"/>
      <c r="L248" s="9"/>
      <c r="M248" s="9"/>
      <c r="N248" s="9"/>
      <c r="O248" s="10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s="2" customFormat="1">
      <c r="A249" s="1"/>
      <c r="B249" s="3"/>
      <c r="D249" s="9"/>
      <c r="E249" s="9"/>
      <c r="F249" s="9"/>
      <c r="G249" s="9"/>
      <c r="H249" s="35"/>
      <c r="I249" s="9"/>
      <c r="J249" s="9"/>
      <c r="K249" s="9"/>
      <c r="L249" s="9"/>
      <c r="M249" s="9"/>
      <c r="N249" s="9"/>
      <c r="O249" s="10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s="2" customFormat="1">
      <c r="A250" s="1"/>
      <c r="B250" s="3"/>
      <c r="D250" s="9"/>
      <c r="E250" s="9"/>
      <c r="F250" s="9"/>
      <c r="G250" s="9"/>
      <c r="H250" s="35"/>
      <c r="I250" s="9"/>
      <c r="J250" s="9"/>
      <c r="K250" s="9"/>
      <c r="L250" s="9"/>
      <c r="M250" s="9"/>
      <c r="N250" s="9"/>
      <c r="O250" s="10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s="2" customFormat="1">
      <c r="A251" s="1"/>
      <c r="B251" s="3"/>
      <c r="D251" s="9"/>
      <c r="E251" s="9"/>
      <c r="F251" s="9"/>
      <c r="G251" s="9"/>
      <c r="H251" s="35"/>
      <c r="I251" s="9"/>
      <c r="J251" s="9"/>
      <c r="K251" s="9"/>
      <c r="L251" s="9"/>
      <c r="M251" s="9"/>
      <c r="N251" s="9"/>
      <c r="O251" s="10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s="2" customFormat="1">
      <c r="A252" s="1"/>
      <c r="B252" s="3"/>
      <c r="D252" s="9"/>
      <c r="E252" s="9"/>
      <c r="F252" s="9"/>
      <c r="G252" s="9"/>
      <c r="H252" s="35"/>
      <c r="I252" s="9"/>
      <c r="J252" s="9"/>
      <c r="K252" s="9"/>
      <c r="L252" s="9"/>
      <c r="M252" s="9"/>
      <c r="N252" s="9"/>
      <c r="O252" s="10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s="2" customFormat="1">
      <c r="A253" s="1"/>
      <c r="B253" s="3"/>
      <c r="D253" s="9"/>
      <c r="E253" s="9"/>
      <c r="F253" s="9"/>
      <c r="G253" s="9"/>
      <c r="H253" s="35"/>
      <c r="I253" s="9"/>
      <c r="J253" s="9"/>
      <c r="K253" s="9"/>
      <c r="L253" s="9"/>
      <c r="M253" s="9"/>
      <c r="N253" s="9"/>
      <c r="O253" s="10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s="2" customFormat="1">
      <c r="A254" s="1"/>
      <c r="B254" s="3"/>
      <c r="D254" s="9"/>
      <c r="E254" s="9"/>
      <c r="F254" s="9"/>
      <c r="G254" s="9"/>
      <c r="H254" s="35"/>
      <c r="I254" s="9"/>
      <c r="J254" s="9"/>
      <c r="K254" s="9"/>
      <c r="L254" s="9"/>
      <c r="M254" s="9"/>
      <c r="N254" s="9"/>
      <c r="O254" s="10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s="2" customFormat="1">
      <c r="A255" s="1"/>
      <c r="B255" s="3"/>
      <c r="D255" s="9"/>
      <c r="E255" s="9"/>
      <c r="F255" s="9"/>
      <c r="G255" s="9"/>
      <c r="H255" s="35"/>
      <c r="I255" s="9"/>
      <c r="J255" s="9"/>
      <c r="K255" s="9"/>
      <c r="L255" s="9"/>
      <c r="M255" s="9"/>
      <c r="N255" s="9"/>
      <c r="O255" s="10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s="2" customFormat="1">
      <c r="A256" s="1"/>
      <c r="B256" s="3"/>
      <c r="D256" s="9"/>
      <c r="E256" s="9"/>
      <c r="F256" s="9"/>
      <c r="G256" s="9"/>
      <c r="H256" s="35"/>
      <c r="I256" s="9"/>
      <c r="J256" s="9"/>
      <c r="K256" s="9"/>
      <c r="L256" s="9"/>
      <c r="M256" s="9"/>
      <c r="N256" s="9"/>
      <c r="O256" s="10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s="2" customFormat="1">
      <c r="A257" s="1"/>
      <c r="B257" s="3"/>
      <c r="D257" s="9"/>
      <c r="E257" s="9"/>
      <c r="F257" s="9"/>
      <c r="G257" s="9"/>
      <c r="H257" s="35"/>
      <c r="I257" s="9"/>
      <c r="J257" s="9"/>
      <c r="K257" s="9"/>
      <c r="L257" s="9"/>
      <c r="M257" s="9"/>
      <c r="N257" s="9"/>
      <c r="O257" s="10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s="2" customFormat="1">
      <c r="A258" s="1"/>
      <c r="B258" s="3"/>
      <c r="D258" s="9"/>
      <c r="E258" s="9"/>
      <c r="F258" s="9"/>
      <c r="G258" s="9"/>
      <c r="H258" s="35"/>
      <c r="I258" s="9"/>
      <c r="J258" s="9"/>
      <c r="K258" s="9"/>
      <c r="L258" s="9"/>
      <c r="M258" s="9"/>
      <c r="N258" s="9"/>
      <c r="O258" s="10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s="2" customFormat="1">
      <c r="A259" s="1"/>
      <c r="B259" s="3"/>
      <c r="D259" s="9"/>
      <c r="E259" s="9"/>
      <c r="F259" s="9"/>
      <c r="G259" s="9"/>
      <c r="H259" s="35"/>
      <c r="I259" s="9"/>
      <c r="J259" s="9"/>
      <c r="K259" s="9"/>
      <c r="L259" s="9"/>
      <c r="M259" s="9"/>
      <c r="N259" s="9"/>
      <c r="O259" s="10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s="2" customFormat="1">
      <c r="A260" s="1"/>
      <c r="B260" s="3"/>
      <c r="D260" s="9"/>
      <c r="E260" s="9"/>
      <c r="F260" s="9"/>
      <c r="G260" s="9"/>
      <c r="H260" s="35"/>
      <c r="I260" s="9"/>
      <c r="J260" s="9"/>
      <c r="K260" s="9"/>
      <c r="L260" s="9"/>
      <c r="M260" s="9"/>
      <c r="N260" s="9"/>
      <c r="O260" s="10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s="2" customFormat="1">
      <c r="A261" s="1"/>
      <c r="B261" s="3"/>
      <c r="D261" s="9"/>
      <c r="E261" s="9"/>
      <c r="F261" s="9"/>
      <c r="G261" s="9"/>
      <c r="H261" s="35"/>
      <c r="I261" s="9"/>
      <c r="J261" s="9"/>
      <c r="K261" s="9"/>
      <c r="L261" s="9"/>
      <c r="M261" s="9"/>
      <c r="N261" s="9"/>
      <c r="O261" s="10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s="2" customFormat="1">
      <c r="A262" s="1"/>
      <c r="B262" s="3"/>
      <c r="D262" s="9"/>
      <c r="E262" s="9"/>
      <c r="F262" s="9"/>
      <c r="G262" s="9"/>
      <c r="H262" s="35"/>
      <c r="I262" s="9"/>
      <c r="J262" s="9"/>
      <c r="K262" s="9"/>
      <c r="L262" s="9"/>
      <c r="M262" s="9"/>
      <c r="N262" s="9"/>
      <c r="O262" s="10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s="2" customFormat="1">
      <c r="A263" s="1"/>
      <c r="B263" s="3"/>
      <c r="D263" s="9"/>
      <c r="E263" s="9"/>
      <c r="F263" s="9"/>
      <c r="G263" s="9"/>
      <c r="H263" s="35"/>
      <c r="I263" s="9"/>
      <c r="J263" s="9"/>
      <c r="K263" s="9"/>
      <c r="L263" s="9"/>
      <c r="M263" s="9"/>
      <c r="N263" s="9"/>
      <c r="O263" s="10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s="2" customFormat="1">
      <c r="A264" s="1"/>
      <c r="B264" s="3"/>
      <c r="D264" s="9"/>
      <c r="E264" s="9"/>
      <c r="F264" s="9"/>
      <c r="G264" s="9"/>
      <c r="H264" s="35"/>
      <c r="I264" s="9"/>
      <c r="J264" s="9"/>
      <c r="K264" s="9"/>
      <c r="L264" s="9"/>
      <c r="M264" s="9"/>
      <c r="N264" s="9"/>
      <c r="O264" s="10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s="2" customFormat="1">
      <c r="A265" s="1"/>
      <c r="B265" s="3"/>
      <c r="D265" s="9"/>
      <c r="E265" s="9"/>
      <c r="F265" s="9"/>
      <c r="G265" s="9"/>
      <c r="H265" s="35"/>
      <c r="I265" s="9"/>
      <c r="J265" s="9"/>
      <c r="K265" s="9"/>
      <c r="L265" s="9"/>
      <c r="M265" s="9"/>
      <c r="N265" s="9"/>
      <c r="O265" s="10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s="2" customFormat="1">
      <c r="A266" s="1"/>
      <c r="B266" s="3"/>
      <c r="D266" s="9"/>
      <c r="E266" s="9"/>
      <c r="F266" s="9"/>
      <c r="G266" s="9"/>
      <c r="H266" s="35"/>
      <c r="I266" s="9"/>
      <c r="J266" s="9"/>
      <c r="K266" s="9"/>
      <c r="L266" s="9"/>
      <c r="M266" s="9"/>
      <c r="N266" s="9"/>
      <c r="O266" s="10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s="2" customFormat="1">
      <c r="A267" s="1"/>
      <c r="B267" s="3"/>
      <c r="D267" s="9"/>
      <c r="E267" s="9"/>
      <c r="F267" s="9"/>
      <c r="G267" s="9"/>
      <c r="H267" s="35"/>
      <c r="I267" s="9"/>
      <c r="J267" s="9"/>
      <c r="K267" s="9"/>
      <c r="L267" s="9"/>
      <c r="M267" s="9"/>
      <c r="N267" s="9"/>
      <c r="O267" s="10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s="2" customFormat="1">
      <c r="A268" s="1"/>
      <c r="B268" s="3"/>
      <c r="D268" s="9"/>
      <c r="E268" s="9"/>
      <c r="F268" s="9"/>
      <c r="G268" s="9"/>
      <c r="H268" s="35"/>
      <c r="I268" s="9"/>
      <c r="J268" s="9"/>
      <c r="K268" s="9"/>
      <c r="L268" s="9"/>
      <c r="M268" s="9"/>
      <c r="N268" s="9"/>
      <c r="O268" s="10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s="2" customFormat="1">
      <c r="A269" s="1"/>
      <c r="B269" s="3"/>
      <c r="D269" s="9"/>
      <c r="E269" s="9"/>
      <c r="F269" s="9"/>
      <c r="G269" s="9"/>
      <c r="H269" s="35"/>
      <c r="I269" s="9"/>
      <c r="J269" s="9"/>
      <c r="K269" s="9"/>
      <c r="L269" s="9"/>
      <c r="M269" s="9"/>
      <c r="N269" s="9"/>
      <c r="O269" s="10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s="2" customFormat="1">
      <c r="A270" s="1"/>
      <c r="B270" s="3"/>
      <c r="D270" s="9"/>
      <c r="E270" s="9"/>
      <c r="F270" s="9"/>
      <c r="G270" s="9"/>
      <c r="H270" s="35"/>
      <c r="I270" s="9"/>
      <c r="J270" s="9"/>
      <c r="K270" s="9"/>
      <c r="L270" s="9"/>
      <c r="M270" s="9"/>
      <c r="N270" s="9"/>
      <c r="O270" s="10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s="2" customFormat="1">
      <c r="A271" s="1"/>
      <c r="B271" s="3"/>
      <c r="D271" s="9"/>
      <c r="E271" s="9"/>
      <c r="F271" s="9"/>
      <c r="G271" s="9"/>
      <c r="H271" s="35"/>
      <c r="I271" s="9"/>
      <c r="J271" s="9"/>
      <c r="K271" s="9"/>
      <c r="L271" s="9"/>
      <c r="M271" s="9"/>
      <c r="N271" s="9"/>
      <c r="O271" s="10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s="2" customFormat="1">
      <c r="A272" s="1"/>
      <c r="B272" s="3"/>
      <c r="D272" s="9"/>
      <c r="E272" s="9"/>
      <c r="F272" s="9"/>
      <c r="G272" s="9"/>
      <c r="H272" s="35"/>
      <c r="I272" s="9"/>
      <c r="J272" s="9"/>
      <c r="K272" s="9"/>
      <c r="L272" s="9"/>
      <c r="M272" s="9"/>
      <c r="N272" s="9"/>
      <c r="O272" s="10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s="2" customFormat="1">
      <c r="A273" s="1"/>
      <c r="B273" s="3"/>
      <c r="D273" s="9"/>
      <c r="E273" s="9"/>
      <c r="F273" s="9"/>
      <c r="G273" s="9"/>
      <c r="H273" s="35"/>
      <c r="I273" s="9"/>
      <c r="J273" s="9"/>
      <c r="K273" s="9"/>
      <c r="L273" s="9"/>
      <c r="M273" s="9"/>
      <c r="N273" s="9"/>
      <c r="O273" s="10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s="2" customFormat="1">
      <c r="A274" s="1"/>
      <c r="B274" s="3"/>
      <c r="D274" s="9"/>
      <c r="E274" s="9"/>
      <c r="F274" s="9"/>
      <c r="G274" s="9"/>
      <c r="H274" s="35"/>
      <c r="I274" s="9"/>
      <c r="J274" s="9"/>
      <c r="K274" s="9"/>
      <c r="L274" s="9"/>
      <c r="M274" s="9"/>
      <c r="N274" s="9"/>
      <c r="O274" s="10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s="2" customFormat="1">
      <c r="A275" s="1"/>
      <c r="B275" s="3"/>
      <c r="D275" s="9"/>
      <c r="E275" s="9"/>
      <c r="F275" s="9"/>
      <c r="G275" s="9"/>
      <c r="H275" s="35"/>
      <c r="I275" s="9"/>
      <c r="J275" s="9"/>
      <c r="K275" s="9"/>
      <c r="L275" s="9"/>
      <c r="M275" s="9"/>
      <c r="N275" s="9"/>
      <c r="O275" s="10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s="2" customFormat="1">
      <c r="A276" s="1"/>
      <c r="B276" s="3"/>
      <c r="D276" s="9"/>
      <c r="E276" s="9"/>
      <c r="F276" s="9"/>
      <c r="G276" s="9"/>
      <c r="H276" s="35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s="2" customFormat="1">
      <c r="A277" s="1"/>
      <c r="B277" s="3"/>
      <c r="D277" s="9"/>
      <c r="E277" s="9"/>
      <c r="F277" s="9"/>
      <c r="G277" s="9"/>
      <c r="H277" s="35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s="2" customFormat="1">
      <c r="A278" s="1"/>
      <c r="B278" s="3"/>
      <c r="D278" s="9"/>
      <c r="E278" s="9"/>
      <c r="F278" s="9"/>
      <c r="G278" s="9"/>
      <c r="H278" s="35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s="2" customFormat="1">
      <c r="A279" s="1"/>
      <c r="B279" s="3"/>
      <c r="D279" s="9"/>
      <c r="E279" s="9"/>
      <c r="F279" s="9"/>
      <c r="G279" s="9"/>
      <c r="H279" s="35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s="2" customFormat="1">
      <c r="A280" s="1"/>
      <c r="B280" s="3"/>
      <c r="D280" s="9"/>
      <c r="E280" s="9"/>
      <c r="F280" s="9"/>
      <c r="G280" s="9"/>
      <c r="H280" s="35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s="2" customFormat="1">
      <c r="A281" s="1"/>
      <c r="B281" s="3"/>
      <c r="D281" s="9"/>
      <c r="E281" s="9"/>
      <c r="F281" s="9"/>
      <c r="G281" s="9"/>
      <c r="H281" s="35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s="2" customFormat="1">
      <c r="A282" s="1"/>
      <c r="B282" s="3"/>
      <c r="D282" s="9"/>
      <c r="E282" s="9"/>
      <c r="F282" s="9"/>
      <c r="G282" s="9"/>
      <c r="H282" s="35"/>
      <c r="I282" s="9"/>
      <c r="J282" s="9"/>
      <c r="K282" s="9"/>
      <c r="L282" s="9"/>
      <c r="M282" s="9"/>
      <c r="N282" s="9"/>
      <c r="O282" s="10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s="2" customFormat="1">
      <c r="A283" s="1"/>
      <c r="B283" s="3"/>
      <c r="D283" s="9"/>
      <c r="E283" s="9"/>
      <c r="F283" s="9"/>
      <c r="G283" s="9"/>
      <c r="H283" s="35"/>
      <c r="I283" s="9"/>
      <c r="J283" s="9"/>
      <c r="K283" s="9"/>
      <c r="L283" s="9"/>
      <c r="M283" s="9"/>
      <c r="N283" s="9"/>
      <c r="O283" s="10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s="2" customFormat="1">
      <c r="A284" s="1"/>
      <c r="B284" s="3"/>
      <c r="D284" s="9"/>
      <c r="E284" s="9"/>
      <c r="F284" s="9"/>
      <c r="G284" s="9"/>
      <c r="H284" s="35"/>
      <c r="I284" s="9"/>
      <c r="J284" s="9"/>
      <c r="K284" s="9"/>
      <c r="L284" s="9"/>
      <c r="M284" s="9"/>
      <c r="N284" s="9"/>
      <c r="O284" s="10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s="2" customFormat="1">
      <c r="A285" s="1"/>
      <c r="B285" s="3"/>
      <c r="D285" s="9"/>
      <c r="E285" s="9"/>
      <c r="F285" s="9"/>
      <c r="G285" s="9"/>
      <c r="H285" s="35"/>
      <c r="I285" s="9"/>
      <c r="J285" s="9"/>
      <c r="K285" s="9"/>
      <c r="L285" s="9"/>
      <c r="M285" s="9"/>
      <c r="N285" s="9"/>
      <c r="O285" s="10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s="2" customFormat="1">
      <c r="A286" s="1"/>
      <c r="B286" s="3"/>
      <c r="D286" s="9"/>
      <c r="E286" s="9"/>
      <c r="F286" s="9"/>
      <c r="G286" s="9"/>
      <c r="H286" s="35"/>
      <c r="I286" s="9"/>
      <c r="J286" s="9"/>
      <c r="K286" s="9"/>
      <c r="L286" s="9"/>
      <c r="M286" s="9"/>
      <c r="N286" s="9"/>
      <c r="O286" s="10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s="2" customFormat="1">
      <c r="A287" s="1"/>
      <c r="B287" s="3"/>
      <c r="D287" s="9"/>
      <c r="E287" s="9"/>
      <c r="F287" s="9"/>
      <c r="G287" s="9"/>
      <c r="H287" s="35"/>
      <c r="I287" s="9"/>
      <c r="J287" s="9"/>
      <c r="K287" s="9"/>
      <c r="L287" s="9"/>
      <c r="M287" s="9"/>
      <c r="N287" s="9"/>
      <c r="O287" s="10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s="2" customFormat="1">
      <c r="A288" s="1"/>
      <c r="B288" s="3"/>
      <c r="D288" s="9"/>
      <c r="E288" s="9"/>
      <c r="F288" s="9"/>
      <c r="G288" s="9"/>
      <c r="H288" s="35"/>
      <c r="I288" s="9"/>
      <c r="J288" s="9"/>
      <c r="K288" s="9"/>
      <c r="L288" s="9"/>
      <c r="M288" s="9"/>
      <c r="N288" s="9"/>
      <c r="O288" s="10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s="2" customFormat="1">
      <c r="A289" s="1"/>
      <c r="B289" s="3"/>
      <c r="D289" s="9"/>
      <c r="E289" s="9"/>
      <c r="F289" s="9"/>
      <c r="G289" s="9"/>
      <c r="H289" s="35"/>
      <c r="I289" s="9"/>
      <c r="J289" s="9"/>
      <c r="K289" s="9"/>
      <c r="L289" s="9"/>
      <c r="M289" s="9"/>
      <c r="N289" s="9"/>
      <c r="O289" s="10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s="2" customFormat="1">
      <c r="A290" s="1"/>
      <c r="B290" s="3"/>
      <c r="D290" s="9"/>
      <c r="E290" s="9"/>
      <c r="F290" s="9"/>
      <c r="G290" s="9"/>
      <c r="H290" s="35"/>
      <c r="I290" s="9"/>
      <c r="J290" s="9"/>
      <c r="K290" s="9"/>
      <c r="L290" s="9"/>
      <c r="M290" s="9"/>
      <c r="N290" s="9"/>
      <c r="O290" s="10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s="2" customFormat="1">
      <c r="A291" s="1"/>
      <c r="B291" s="3"/>
      <c r="D291" s="9"/>
      <c r="E291" s="9"/>
      <c r="F291" s="9"/>
      <c r="G291" s="9"/>
      <c r="H291" s="35"/>
      <c r="I291" s="9"/>
      <c r="J291" s="9"/>
      <c r="K291" s="9"/>
      <c r="L291" s="9"/>
      <c r="M291" s="9"/>
      <c r="N291" s="9"/>
      <c r="O291" s="10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s="2" customFormat="1">
      <c r="A292" s="1"/>
      <c r="B292" s="3"/>
      <c r="D292" s="9"/>
      <c r="E292" s="9"/>
      <c r="F292" s="9"/>
      <c r="G292" s="9"/>
      <c r="H292" s="35"/>
      <c r="I292" s="9"/>
      <c r="J292" s="9"/>
      <c r="K292" s="9"/>
      <c r="L292" s="9"/>
      <c r="M292" s="9"/>
      <c r="N292" s="9"/>
      <c r="O292" s="10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s="2" customFormat="1">
      <c r="A293" s="1"/>
      <c r="B293" s="3"/>
      <c r="D293" s="9"/>
      <c r="E293" s="9"/>
      <c r="F293" s="9"/>
      <c r="G293" s="9"/>
      <c r="H293" s="35"/>
      <c r="I293" s="9"/>
      <c r="J293" s="9"/>
      <c r="K293" s="9"/>
      <c r="L293" s="9"/>
      <c r="M293" s="9"/>
      <c r="N293" s="9"/>
      <c r="O293" s="10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s="2" customFormat="1">
      <c r="A294" s="1"/>
      <c r="B294" s="3"/>
      <c r="D294" s="9"/>
      <c r="E294" s="9"/>
      <c r="F294" s="9"/>
      <c r="G294" s="9"/>
      <c r="H294" s="35"/>
      <c r="I294" s="9"/>
      <c r="J294" s="9"/>
      <c r="K294" s="9"/>
      <c r="L294" s="9"/>
      <c r="M294" s="9"/>
      <c r="N294" s="9"/>
      <c r="O294" s="10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s="2" customFormat="1">
      <c r="A295" s="1"/>
      <c r="B295" s="3"/>
      <c r="D295" s="9"/>
      <c r="E295" s="9"/>
      <c r="F295" s="9"/>
      <c r="G295" s="9"/>
      <c r="H295" s="35"/>
      <c r="I295" s="9"/>
      <c r="J295" s="9"/>
      <c r="K295" s="9"/>
      <c r="L295" s="9"/>
      <c r="M295" s="9"/>
      <c r="N295" s="9"/>
      <c r="O295" s="10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s="2" customFormat="1">
      <c r="A296" s="1"/>
      <c r="B296" s="3"/>
      <c r="D296" s="9"/>
      <c r="E296" s="9"/>
      <c r="F296" s="9"/>
      <c r="G296" s="9"/>
      <c r="H296" s="35"/>
      <c r="I296" s="9"/>
      <c r="J296" s="9"/>
      <c r="K296" s="9"/>
      <c r="L296" s="9"/>
      <c r="M296" s="9"/>
      <c r="N296" s="9"/>
      <c r="O296" s="10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s="2" customFormat="1">
      <c r="A297" s="1"/>
      <c r="B297" s="3"/>
      <c r="D297" s="9"/>
      <c r="E297" s="9"/>
      <c r="F297" s="9"/>
      <c r="G297" s="9"/>
      <c r="H297" s="35"/>
      <c r="I297" s="9"/>
      <c r="J297" s="9"/>
      <c r="K297" s="9"/>
      <c r="L297" s="9"/>
      <c r="M297" s="9"/>
      <c r="N297" s="9"/>
      <c r="O297" s="10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s="2" customFormat="1">
      <c r="A298" s="1"/>
      <c r="B298" s="3"/>
      <c r="D298" s="9"/>
      <c r="E298" s="9"/>
      <c r="F298" s="9"/>
      <c r="G298" s="9"/>
      <c r="H298" s="35"/>
      <c r="I298" s="9"/>
      <c r="J298" s="9"/>
      <c r="K298" s="9"/>
      <c r="L298" s="9"/>
      <c r="M298" s="9"/>
      <c r="N298" s="9"/>
      <c r="O298" s="10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s="2" customFormat="1">
      <c r="A299" s="1"/>
      <c r="B299" s="3"/>
      <c r="D299" s="9"/>
      <c r="E299" s="9"/>
      <c r="F299" s="9"/>
      <c r="G299" s="9"/>
      <c r="H299" s="35"/>
      <c r="I299" s="9"/>
      <c r="J299" s="9"/>
      <c r="K299" s="9"/>
      <c r="L299" s="9"/>
      <c r="M299" s="9"/>
      <c r="N299" s="9"/>
      <c r="O299" s="10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s="2" customFormat="1">
      <c r="A300" s="1"/>
      <c r="B300" s="3"/>
      <c r="D300" s="9"/>
      <c r="E300" s="9"/>
      <c r="F300" s="9"/>
      <c r="G300" s="9"/>
      <c r="H300" s="35"/>
      <c r="I300" s="9"/>
      <c r="J300" s="9"/>
      <c r="K300" s="9"/>
      <c r="L300" s="9"/>
      <c r="M300" s="9"/>
      <c r="N300" s="9"/>
      <c r="O300" s="10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s="2" customFormat="1">
      <c r="A301" s="1"/>
      <c r="B301" s="3"/>
      <c r="D301" s="9"/>
      <c r="E301" s="9"/>
      <c r="F301" s="9"/>
      <c r="G301" s="9"/>
      <c r="H301" s="35"/>
      <c r="I301" s="9"/>
      <c r="J301" s="9"/>
      <c r="K301" s="9"/>
      <c r="L301" s="9"/>
      <c r="M301" s="9"/>
      <c r="N301" s="9"/>
      <c r="O301" s="10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s="2" customFormat="1">
      <c r="A302" s="1"/>
      <c r="B302" s="3"/>
      <c r="D302" s="9"/>
      <c r="E302" s="9"/>
      <c r="F302" s="9"/>
      <c r="G302" s="9"/>
      <c r="H302" s="35"/>
      <c r="I302" s="9"/>
      <c r="J302" s="9"/>
      <c r="K302" s="9"/>
      <c r="L302" s="9"/>
      <c r="M302" s="9"/>
      <c r="N302" s="9"/>
      <c r="O302" s="10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s="2" customFormat="1">
      <c r="A303" s="1"/>
      <c r="B303" s="3"/>
      <c r="D303" s="9"/>
      <c r="E303" s="9"/>
      <c r="F303" s="9"/>
      <c r="G303" s="9"/>
      <c r="H303" s="35"/>
      <c r="I303" s="9"/>
      <c r="J303" s="9"/>
      <c r="K303" s="9"/>
      <c r="L303" s="9"/>
      <c r="M303" s="9"/>
      <c r="N303" s="9"/>
      <c r="O303" s="10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s="2" customFormat="1">
      <c r="A304" s="1"/>
      <c r="B304" s="3"/>
      <c r="D304" s="9"/>
      <c r="E304" s="9"/>
      <c r="F304" s="9"/>
      <c r="G304" s="9"/>
      <c r="H304" s="35"/>
      <c r="I304" s="9"/>
      <c r="J304" s="9"/>
      <c r="K304" s="9"/>
      <c r="L304" s="9"/>
      <c r="M304" s="9"/>
      <c r="N304" s="9"/>
      <c r="O304" s="10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s="2" customFormat="1">
      <c r="A305" s="1"/>
      <c r="B305" s="3"/>
      <c r="D305" s="9"/>
      <c r="E305" s="9"/>
      <c r="F305" s="9"/>
      <c r="G305" s="9"/>
      <c r="H305" s="35"/>
      <c r="I305" s="9"/>
      <c r="J305" s="9"/>
      <c r="K305" s="9"/>
      <c r="L305" s="9"/>
      <c r="M305" s="9"/>
      <c r="N305" s="9"/>
      <c r="O305" s="10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s="2" customFormat="1">
      <c r="A306" s="1"/>
      <c r="B306" s="3"/>
      <c r="D306" s="9"/>
      <c r="E306" s="9"/>
      <c r="F306" s="9"/>
      <c r="G306" s="9"/>
      <c r="H306" s="35"/>
      <c r="I306" s="9"/>
      <c r="J306" s="9"/>
      <c r="K306" s="9"/>
      <c r="L306" s="9"/>
      <c r="M306" s="9"/>
      <c r="N306" s="9"/>
      <c r="O306" s="10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s="2" customFormat="1">
      <c r="A307" s="1"/>
      <c r="B307" s="3"/>
      <c r="D307" s="9"/>
      <c r="E307" s="9"/>
      <c r="F307" s="9"/>
      <c r="G307" s="9"/>
      <c r="H307" s="35"/>
      <c r="I307" s="9"/>
      <c r="J307" s="9"/>
      <c r="K307" s="9"/>
      <c r="L307" s="9"/>
      <c r="M307" s="9"/>
      <c r="N307" s="9"/>
      <c r="O307" s="10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s="2" customFormat="1">
      <c r="A308" s="1"/>
      <c r="B308" s="3"/>
      <c r="D308" s="9"/>
      <c r="E308" s="9"/>
      <c r="F308" s="9"/>
      <c r="G308" s="9"/>
      <c r="H308" s="35"/>
      <c r="I308" s="9"/>
      <c r="J308" s="9"/>
      <c r="K308" s="9"/>
      <c r="L308" s="9"/>
      <c r="M308" s="9"/>
      <c r="N308" s="9"/>
      <c r="O308" s="10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s="2" customFormat="1">
      <c r="A309" s="1"/>
      <c r="B309" s="3"/>
      <c r="D309" s="9"/>
      <c r="E309" s="9"/>
      <c r="F309" s="9"/>
      <c r="G309" s="9"/>
      <c r="H309" s="35"/>
      <c r="I309" s="9"/>
      <c r="J309" s="9"/>
      <c r="K309" s="9"/>
      <c r="L309" s="9"/>
      <c r="M309" s="9"/>
      <c r="N309" s="9"/>
      <c r="O309" s="10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s="2" customFormat="1">
      <c r="A310" s="1"/>
      <c r="B310" s="3"/>
      <c r="D310" s="9"/>
      <c r="E310" s="9"/>
      <c r="F310" s="9"/>
      <c r="G310" s="9"/>
      <c r="H310" s="35"/>
      <c r="I310" s="9"/>
      <c r="J310" s="9"/>
      <c r="K310" s="9"/>
      <c r="L310" s="9"/>
      <c r="M310" s="9"/>
      <c r="N310" s="9"/>
      <c r="O310" s="10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s="2" customFormat="1">
      <c r="A311" s="1"/>
      <c r="B311" s="3"/>
      <c r="D311" s="9"/>
      <c r="E311" s="9"/>
      <c r="F311" s="9"/>
      <c r="G311" s="9"/>
      <c r="H311" s="35"/>
      <c r="I311" s="9"/>
      <c r="J311" s="9"/>
      <c r="K311" s="9"/>
      <c r="L311" s="9"/>
      <c r="M311" s="9"/>
      <c r="N311" s="9"/>
      <c r="O311" s="10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s="2" customFormat="1">
      <c r="A312" s="1"/>
      <c r="B312" s="3"/>
      <c r="D312" s="9"/>
      <c r="E312" s="9"/>
      <c r="F312" s="9"/>
      <c r="G312" s="9"/>
      <c r="H312" s="35"/>
      <c r="I312" s="9"/>
      <c r="J312" s="9"/>
      <c r="K312" s="9"/>
      <c r="L312" s="9"/>
      <c r="M312" s="9"/>
      <c r="N312" s="9"/>
      <c r="O312" s="10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s="2" customFormat="1">
      <c r="A313" s="1"/>
      <c r="B313" s="3"/>
      <c r="D313" s="9"/>
      <c r="E313" s="9"/>
      <c r="F313" s="9"/>
      <c r="G313" s="9"/>
      <c r="H313" s="35"/>
      <c r="I313" s="9"/>
      <c r="J313" s="9"/>
      <c r="K313" s="9"/>
      <c r="L313" s="9"/>
      <c r="M313" s="9"/>
      <c r="N313" s="9"/>
      <c r="O313" s="10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s="2" customFormat="1">
      <c r="A314" s="1"/>
      <c r="B314" s="3"/>
      <c r="D314" s="9"/>
      <c r="E314" s="9"/>
      <c r="F314" s="9"/>
      <c r="G314" s="9"/>
      <c r="H314" s="35"/>
      <c r="I314" s="9"/>
      <c r="J314" s="9"/>
      <c r="K314" s="9"/>
      <c r="L314" s="9"/>
      <c r="M314" s="9"/>
      <c r="N314" s="9"/>
      <c r="O314" s="10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s="2" customFormat="1">
      <c r="A315" s="1"/>
      <c r="B315" s="3"/>
      <c r="D315" s="9"/>
      <c r="E315" s="9"/>
      <c r="F315" s="9"/>
      <c r="G315" s="9"/>
      <c r="H315" s="35"/>
      <c r="I315" s="9"/>
      <c r="J315" s="9"/>
      <c r="K315" s="9"/>
      <c r="L315" s="9"/>
      <c r="M315" s="9"/>
      <c r="N315" s="9"/>
      <c r="O315" s="10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s="2" customFormat="1">
      <c r="A316" s="1"/>
      <c r="B316" s="3"/>
      <c r="D316" s="9"/>
      <c r="E316" s="9"/>
      <c r="F316" s="9"/>
      <c r="G316" s="9"/>
      <c r="H316" s="35"/>
      <c r="I316" s="9"/>
      <c r="J316" s="9"/>
      <c r="K316" s="9"/>
      <c r="L316" s="9"/>
      <c r="M316" s="9"/>
      <c r="N316" s="9"/>
      <c r="O316" s="10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s="2" customFormat="1">
      <c r="A317" s="1"/>
      <c r="B317" s="3"/>
      <c r="D317" s="9"/>
      <c r="E317" s="9"/>
      <c r="F317" s="9"/>
      <c r="G317" s="9"/>
      <c r="H317" s="35"/>
      <c r="I317" s="9"/>
      <c r="J317" s="9"/>
      <c r="K317" s="9"/>
      <c r="L317" s="9"/>
      <c r="M317" s="9"/>
      <c r="N317" s="9"/>
      <c r="O317" s="10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s="2" customFormat="1">
      <c r="A318" s="1"/>
      <c r="B318" s="3"/>
      <c r="D318" s="9"/>
      <c r="E318" s="9"/>
      <c r="F318" s="9"/>
      <c r="G318" s="9"/>
      <c r="H318" s="35"/>
      <c r="I318" s="9"/>
      <c r="J318" s="9"/>
      <c r="K318" s="9"/>
      <c r="L318" s="9"/>
      <c r="M318" s="9"/>
      <c r="N318" s="9"/>
      <c r="O318" s="10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s="2" customFormat="1">
      <c r="A319" s="1"/>
      <c r="B319" s="3"/>
      <c r="D319" s="9"/>
      <c r="E319" s="9"/>
      <c r="F319" s="9"/>
      <c r="G319" s="9"/>
      <c r="H319" s="35"/>
      <c r="I319" s="9"/>
      <c r="J319" s="9"/>
      <c r="K319" s="9"/>
      <c r="L319" s="9"/>
      <c r="M319" s="9"/>
      <c r="N319" s="9"/>
      <c r="O319" s="10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s="2" customFormat="1">
      <c r="A320" s="1"/>
      <c r="B320" s="3"/>
      <c r="D320" s="9"/>
      <c r="E320" s="9"/>
      <c r="F320" s="9"/>
      <c r="G320" s="9"/>
      <c r="H320" s="35"/>
      <c r="I320" s="9"/>
      <c r="J320" s="9"/>
      <c r="K320" s="9"/>
      <c r="L320" s="9"/>
      <c r="M320" s="9"/>
      <c r="N320" s="9"/>
      <c r="O320" s="10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s="2" customFormat="1">
      <c r="A321" s="1"/>
      <c r="B321" s="3"/>
      <c r="D321" s="9"/>
      <c r="E321" s="9"/>
      <c r="F321" s="9"/>
      <c r="G321" s="9"/>
      <c r="H321" s="35"/>
      <c r="I321" s="9"/>
      <c r="J321" s="9"/>
      <c r="K321" s="9"/>
      <c r="L321" s="9"/>
      <c r="M321" s="9"/>
      <c r="N321" s="9"/>
      <c r="O321" s="10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s="2" customFormat="1">
      <c r="A322" s="1"/>
      <c r="B322" s="3"/>
      <c r="D322" s="9"/>
      <c r="E322" s="9"/>
      <c r="F322" s="9"/>
      <c r="G322" s="9"/>
      <c r="H322" s="35"/>
      <c r="I322" s="9"/>
      <c r="J322" s="9"/>
      <c r="K322" s="9"/>
      <c r="L322" s="9"/>
      <c r="M322" s="9"/>
      <c r="N322" s="9"/>
      <c r="O322" s="10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s="2" customFormat="1">
      <c r="A323" s="1"/>
      <c r="B323" s="3"/>
      <c r="D323" s="9"/>
      <c r="E323" s="9"/>
      <c r="F323" s="9"/>
      <c r="G323" s="9"/>
      <c r="H323" s="35"/>
      <c r="I323" s="9"/>
      <c r="J323" s="9"/>
      <c r="K323" s="9"/>
      <c r="L323" s="9"/>
      <c r="M323" s="9"/>
      <c r="N323" s="9"/>
      <c r="O323" s="10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s="2" customFormat="1">
      <c r="A324" s="1"/>
      <c r="B324" s="3"/>
      <c r="D324" s="9"/>
      <c r="E324" s="9"/>
      <c r="F324" s="9"/>
      <c r="G324" s="9"/>
      <c r="H324" s="35"/>
      <c r="I324" s="9"/>
      <c r="J324" s="9"/>
      <c r="K324" s="9"/>
      <c r="L324" s="9"/>
      <c r="M324" s="9"/>
      <c r="N324" s="9"/>
      <c r="O324" s="10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s="2" customFormat="1">
      <c r="A325" s="1"/>
      <c r="B325" s="3"/>
      <c r="D325" s="9"/>
      <c r="E325" s="9"/>
      <c r="F325" s="9"/>
      <c r="G325" s="9"/>
      <c r="H325" s="35"/>
      <c r="I325" s="9"/>
      <c r="J325" s="9"/>
      <c r="K325" s="9"/>
      <c r="L325" s="9"/>
      <c r="M325" s="9"/>
      <c r="N325" s="9"/>
      <c r="O325" s="10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s="2" customFormat="1">
      <c r="A326" s="1"/>
      <c r="B326" s="3"/>
      <c r="D326" s="9"/>
      <c r="E326" s="9"/>
      <c r="F326" s="9"/>
      <c r="G326" s="9"/>
      <c r="H326" s="35"/>
      <c r="I326" s="9"/>
      <c r="J326" s="9"/>
      <c r="K326" s="9"/>
      <c r="L326" s="9"/>
      <c r="M326" s="9"/>
      <c r="N326" s="9"/>
      <c r="O326" s="10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s="2" customFormat="1">
      <c r="A327" s="1"/>
      <c r="B327" s="3"/>
      <c r="D327" s="9"/>
      <c r="E327" s="9"/>
      <c r="F327" s="9"/>
      <c r="G327" s="9"/>
      <c r="H327" s="35"/>
      <c r="I327" s="9"/>
      <c r="J327" s="9"/>
      <c r="K327" s="9"/>
      <c r="L327" s="9"/>
      <c r="M327" s="9"/>
      <c r="N327" s="9"/>
      <c r="O327" s="10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s="2" customFormat="1">
      <c r="A328" s="1"/>
      <c r="B328" s="3"/>
      <c r="D328" s="9"/>
      <c r="E328" s="9"/>
      <c r="F328" s="9"/>
      <c r="G328" s="9"/>
      <c r="H328" s="35"/>
      <c r="I328" s="9"/>
      <c r="J328" s="9"/>
      <c r="K328" s="9"/>
      <c r="L328" s="9"/>
      <c r="M328" s="9"/>
      <c r="N328" s="9"/>
      <c r="O328" s="10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s="2" customFormat="1">
      <c r="A329" s="1"/>
      <c r="B329" s="3"/>
      <c r="D329" s="9"/>
      <c r="E329" s="9"/>
      <c r="F329" s="9"/>
      <c r="G329" s="9"/>
      <c r="H329" s="35"/>
      <c r="I329" s="9"/>
      <c r="J329" s="9"/>
      <c r="K329" s="9"/>
      <c r="L329" s="9"/>
      <c r="M329" s="9"/>
      <c r="N329" s="9"/>
      <c r="O329" s="10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s="2" customFormat="1">
      <c r="A330" s="1"/>
      <c r="B330" s="3"/>
      <c r="D330" s="9"/>
      <c r="E330" s="9"/>
      <c r="F330" s="9"/>
      <c r="G330" s="9"/>
      <c r="H330" s="35"/>
      <c r="I330" s="9"/>
      <c r="J330" s="9"/>
      <c r="K330" s="9"/>
      <c r="L330" s="9"/>
      <c r="M330" s="9"/>
      <c r="N330" s="9"/>
      <c r="O330" s="10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s="2" customFormat="1">
      <c r="A331" s="1"/>
      <c r="B331" s="3"/>
      <c r="D331" s="9"/>
      <c r="E331" s="9"/>
      <c r="F331" s="9"/>
      <c r="G331" s="9"/>
      <c r="H331" s="35"/>
      <c r="I331" s="9"/>
      <c r="J331" s="9"/>
      <c r="K331" s="9"/>
      <c r="L331" s="9"/>
      <c r="M331" s="9"/>
      <c r="N331" s="9"/>
      <c r="O331" s="10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s="2" customFormat="1">
      <c r="A332" s="1"/>
      <c r="B332" s="3"/>
      <c r="D332" s="9"/>
      <c r="E332" s="9"/>
      <c r="F332" s="9"/>
      <c r="G332" s="9"/>
      <c r="H332" s="35"/>
      <c r="I332" s="9"/>
      <c r="J332" s="9"/>
      <c r="K332" s="9"/>
      <c r="L332" s="9"/>
      <c r="M332" s="9"/>
      <c r="N332" s="9"/>
      <c r="O332" s="10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s="2" customFormat="1">
      <c r="A333" s="1"/>
      <c r="B333" s="3"/>
      <c r="D333" s="9"/>
      <c r="E333" s="9"/>
      <c r="F333" s="9"/>
      <c r="G333" s="9"/>
      <c r="H333" s="35"/>
      <c r="I333" s="9"/>
      <c r="J333" s="9"/>
      <c r="K333" s="9"/>
      <c r="L333" s="9"/>
      <c r="M333" s="9"/>
      <c r="N333" s="9"/>
      <c r="O333" s="10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s="2" customFormat="1">
      <c r="A334" s="1"/>
      <c r="B334" s="3"/>
      <c r="D334" s="9"/>
      <c r="E334" s="9"/>
      <c r="F334" s="9"/>
      <c r="G334" s="9"/>
      <c r="H334" s="35"/>
      <c r="I334" s="9"/>
      <c r="J334" s="9"/>
      <c r="K334" s="9"/>
      <c r="L334" s="9"/>
      <c r="M334" s="9"/>
      <c r="N334" s="9"/>
      <c r="O334" s="10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s="2" customFormat="1">
      <c r="A335" s="1"/>
      <c r="B335" s="3"/>
      <c r="D335" s="9"/>
      <c r="E335" s="9"/>
      <c r="F335" s="9"/>
      <c r="G335" s="9"/>
      <c r="H335" s="35"/>
      <c r="I335" s="9"/>
      <c r="J335" s="9"/>
      <c r="K335" s="9"/>
      <c r="L335" s="9"/>
      <c r="M335" s="9"/>
      <c r="N335" s="9"/>
      <c r="O335" s="10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s="2" customFormat="1">
      <c r="A336" s="1"/>
      <c r="B336" s="3"/>
      <c r="D336" s="9"/>
      <c r="E336" s="9"/>
      <c r="F336" s="9"/>
      <c r="G336" s="9"/>
      <c r="H336" s="35"/>
      <c r="I336" s="9"/>
      <c r="J336" s="9"/>
      <c r="K336" s="9"/>
      <c r="L336" s="9"/>
      <c r="M336" s="9"/>
      <c r="N336" s="9"/>
      <c r="O336" s="10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s="2" customFormat="1">
      <c r="A337" s="1"/>
      <c r="B337" s="3"/>
      <c r="D337" s="9"/>
      <c r="E337" s="9"/>
      <c r="F337" s="9"/>
      <c r="G337" s="9"/>
      <c r="H337" s="35"/>
      <c r="I337" s="9"/>
      <c r="J337" s="9"/>
      <c r="K337" s="9"/>
      <c r="L337" s="9"/>
      <c r="M337" s="9"/>
      <c r="N337" s="9"/>
      <c r="O337" s="10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s="2" customFormat="1">
      <c r="A338" s="1"/>
      <c r="B338" s="3"/>
      <c r="D338" s="9"/>
      <c r="E338" s="9"/>
      <c r="F338" s="9"/>
      <c r="G338" s="9"/>
      <c r="H338" s="35"/>
      <c r="I338" s="9"/>
      <c r="J338" s="9"/>
      <c r="K338" s="9"/>
      <c r="L338" s="9"/>
      <c r="M338" s="9"/>
      <c r="N338" s="9"/>
      <c r="O338" s="10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s="2" customFormat="1">
      <c r="A339" s="1"/>
      <c r="B339" s="3"/>
      <c r="D339" s="9"/>
      <c r="E339" s="9"/>
      <c r="F339" s="9"/>
      <c r="G339" s="9"/>
      <c r="H339" s="35"/>
      <c r="I339" s="9"/>
      <c r="J339" s="9"/>
      <c r="K339" s="9"/>
      <c r="L339" s="9"/>
      <c r="M339" s="9"/>
      <c r="N339" s="9"/>
      <c r="O339" s="10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s="2" customFormat="1">
      <c r="A340" s="1"/>
      <c r="B340" s="3"/>
      <c r="D340" s="9"/>
      <c r="E340" s="9"/>
      <c r="F340" s="9"/>
      <c r="G340" s="9"/>
      <c r="H340" s="35"/>
      <c r="I340" s="9"/>
      <c r="J340" s="9"/>
      <c r="K340" s="9"/>
      <c r="L340" s="9"/>
      <c r="M340" s="9"/>
      <c r="N340" s="9"/>
      <c r="O340" s="10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s="2" customFormat="1">
      <c r="A341" s="1"/>
      <c r="B341" s="3"/>
      <c r="D341" s="9"/>
      <c r="E341" s="9"/>
      <c r="F341" s="9"/>
      <c r="G341" s="9"/>
      <c r="H341" s="35"/>
      <c r="I341" s="9"/>
      <c r="J341" s="9"/>
      <c r="K341" s="9"/>
      <c r="L341" s="9"/>
      <c r="M341" s="9"/>
      <c r="N341" s="9"/>
      <c r="O341" s="10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s="2" customFormat="1">
      <c r="A342" s="1"/>
      <c r="B342" s="3"/>
      <c r="D342" s="9"/>
      <c r="E342" s="9"/>
      <c r="F342" s="9"/>
      <c r="G342" s="9"/>
      <c r="H342" s="35"/>
      <c r="I342" s="9"/>
      <c r="J342" s="9"/>
      <c r="K342" s="9"/>
      <c r="L342" s="9"/>
      <c r="M342" s="9"/>
      <c r="N342" s="9"/>
      <c r="O342" s="10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s="2" customFormat="1">
      <c r="A343" s="1"/>
      <c r="B343" s="3"/>
      <c r="D343" s="9"/>
      <c r="E343" s="9"/>
      <c r="F343" s="9"/>
      <c r="G343" s="9"/>
      <c r="H343" s="35"/>
      <c r="I343" s="9"/>
      <c r="J343" s="9"/>
      <c r="K343" s="9"/>
      <c r="L343" s="9"/>
      <c r="M343" s="9"/>
      <c r="N343" s="9"/>
      <c r="O343" s="10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s="2" customFormat="1">
      <c r="A344" s="1"/>
      <c r="B344" s="3"/>
      <c r="D344" s="9"/>
      <c r="E344" s="9"/>
      <c r="F344" s="9"/>
      <c r="G344" s="9"/>
      <c r="H344" s="35"/>
      <c r="I344" s="9"/>
      <c r="J344" s="9"/>
      <c r="K344" s="9"/>
      <c r="L344" s="9"/>
      <c r="M344" s="9"/>
      <c r="N344" s="9"/>
      <c r="O344" s="10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s="2" customFormat="1">
      <c r="A345" s="1"/>
      <c r="B345" s="3"/>
      <c r="D345" s="9"/>
      <c r="E345" s="9"/>
      <c r="F345" s="9"/>
      <c r="G345" s="9"/>
      <c r="H345" s="35"/>
      <c r="I345" s="9"/>
      <c r="J345" s="9"/>
      <c r="K345" s="9"/>
      <c r="L345" s="9"/>
      <c r="M345" s="9"/>
      <c r="N345" s="9"/>
      <c r="O345" s="10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s="2" customFormat="1">
      <c r="A346" s="1"/>
      <c r="B346" s="3"/>
      <c r="D346" s="9"/>
      <c r="E346" s="9"/>
      <c r="F346" s="9"/>
      <c r="G346" s="9"/>
      <c r="H346" s="35"/>
      <c r="I346" s="9"/>
      <c r="J346" s="9"/>
      <c r="K346" s="9"/>
      <c r="L346" s="9"/>
      <c r="M346" s="9"/>
      <c r="N346" s="9"/>
      <c r="O346" s="10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s="2" customFormat="1">
      <c r="A347" s="1"/>
      <c r="B347" s="3"/>
      <c r="D347" s="9"/>
      <c r="E347" s="9"/>
      <c r="F347" s="9"/>
      <c r="G347" s="9"/>
      <c r="H347" s="35"/>
      <c r="I347" s="9"/>
      <c r="J347" s="9"/>
      <c r="K347" s="9"/>
      <c r="L347" s="9"/>
      <c r="M347" s="9"/>
      <c r="N347" s="9"/>
      <c r="O347" s="10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s="2" customFormat="1">
      <c r="A348" s="1"/>
      <c r="B348" s="3"/>
      <c r="D348" s="9"/>
      <c r="E348" s="9"/>
      <c r="F348" s="9"/>
      <c r="G348" s="9"/>
      <c r="H348" s="35"/>
      <c r="I348" s="9"/>
      <c r="J348" s="9"/>
      <c r="K348" s="9"/>
      <c r="L348" s="9"/>
      <c r="M348" s="9"/>
      <c r="N348" s="9"/>
      <c r="O348" s="10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s="2" customFormat="1">
      <c r="A349" s="1"/>
      <c r="B349" s="3"/>
      <c r="D349" s="9"/>
      <c r="E349" s="9"/>
      <c r="F349" s="9"/>
      <c r="G349" s="9"/>
      <c r="H349" s="35"/>
      <c r="I349" s="9"/>
      <c r="J349" s="9"/>
      <c r="K349" s="9"/>
      <c r="L349" s="9"/>
      <c r="M349" s="9"/>
      <c r="N349" s="9"/>
      <c r="O349" s="10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s="2" customFormat="1">
      <c r="A350" s="1"/>
      <c r="B350" s="3"/>
      <c r="D350" s="9"/>
      <c r="E350" s="9"/>
      <c r="F350" s="9"/>
      <c r="G350" s="9"/>
      <c r="H350" s="35"/>
      <c r="I350" s="9"/>
      <c r="J350" s="9"/>
      <c r="K350" s="9"/>
      <c r="L350" s="9"/>
      <c r="M350" s="9"/>
      <c r="N350" s="9"/>
      <c r="O350" s="10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s="2" customFormat="1">
      <c r="A351" s="1"/>
      <c r="B351" s="3"/>
      <c r="D351" s="9"/>
      <c r="E351" s="9"/>
      <c r="F351" s="9"/>
      <c r="G351" s="9"/>
      <c r="H351" s="35"/>
      <c r="I351" s="9"/>
      <c r="J351" s="9"/>
      <c r="K351" s="9"/>
      <c r="L351" s="9"/>
      <c r="M351" s="9"/>
      <c r="N351" s="9"/>
      <c r="O351" s="10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s="2" customFormat="1">
      <c r="A352" s="1"/>
      <c r="B352" s="3"/>
      <c r="D352" s="9"/>
      <c r="E352" s="9"/>
      <c r="F352" s="9"/>
      <c r="G352" s="9"/>
      <c r="H352" s="35"/>
      <c r="I352" s="9"/>
      <c r="J352" s="9"/>
      <c r="K352" s="9"/>
      <c r="L352" s="9"/>
      <c r="M352" s="9"/>
      <c r="N352" s="9"/>
      <c r="O352" s="10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s="2" customFormat="1">
      <c r="A353" s="1"/>
      <c r="B353" s="3"/>
      <c r="D353" s="9"/>
      <c r="E353" s="9"/>
      <c r="F353" s="9"/>
      <c r="G353" s="9"/>
      <c r="H353" s="35"/>
      <c r="I353" s="9"/>
      <c r="J353" s="9"/>
      <c r="K353" s="9"/>
      <c r="L353" s="9"/>
      <c r="M353" s="9"/>
      <c r="N353" s="9"/>
      <c r="O353" s="10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s="2" customFormat="1">
      <c r="A354" s="1"/>
      <c r="B354" s="3"/>
      <c r="D354" s="9"/>
      <c r="E354" s="9"/>
      <c r="F354" s="9"/>
      <c r="G354" s="9"/>
      <c r="H354" s="35"/>
      <c r="I354" s="9"/>
      <c r="J354" s="9"/>
      <c r="K354" s="9"/>
      <c r="L354" s="9"/>
      <c r="M354" s="9"/>
      <c r="N354" s="9"/>
      <c r="O354" s="10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s="2" customFormat="1">
      <c r="A355" s="1"/>
      <c r="B355" s="3"/>
      <c r="D355" s="9"/>
      <c r="E355" s="9"/>
      <c r="F355" s="9"/>
      <c r="G355" s="9"/>
      <c r="H355" s="35"/>
      <c r="I355" s="9"/>
      <c r="J355" s="9"/>
      <c r="K355" s="9"/>
      <c r="L355" s="9"/>
      <c r="M355" s="9"/>
      <c r="N355" s="9"/>
      <c r="O355" s="10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s="2" customFormat="1">
      <c r="A356" s="1"/>
      <c r="B356" s="3"/>
      <c r="D356" s="9"/>
      <c r="E356" s="9"/>
      <c r="F356" s="9"/>
      <c r="G356" s="9"/>
      <c r="H356" s="35"/>
      <c r="I356" s="9"/>
      <c r="J356" s="9"/>
      <c r="K356" s="9"/>
      <c r="L356" s="9"/>
      <c r="M356" s="9"/>
      <c r="N356" s="9"/>
      <c r="O356" s="10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s="2" customFormat="1">
      <c r="A357" s="1"/>
      <c r="B357" s="3"/>
      <c r="D357" s="9"/>
      <c r="E357" s="9"/>
      <c r="F357" s="9"/>
      <c r="G357" s="9"/>
      <c r="H357" s="35"/>
      <c r="I357" s="9"/>
      <c r="J357" s="9"/>
      <c r="K357" s="9"/>
      <c r="L357" s="9"/>
      <c r="M357" s="9"/>
      <c r="N357" s="9"/>
      <c r="O357" s="10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s="2" customFormat="1">
      <c r="A358" s="1"/>
      <c r="B358" s="3"/>
      <c r="D358" s="9"/>
      <c r="E358" s="9"/>
      <c r="F358" s="9"/>
      <c r="G358" s="9"/>
      <c r="H358" s="35"/>
      <c r="I358" s="9"/>
      <c r="J358" s="9"/>
      <c r="K358" s="9"/>
      <c r="L358" s="9"/>
      <c r="M358" s="9"/>
      <c r="N358" s="9"/>
      <c r="O358" s="10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s="2" customFormat="1">
      <c r="A359" s="1"/>
      <c r="B359" s="3"/>
      <c r="D359" s="9"/>
      <c r="E359" s="9"/>
      <c r="F359" s="9"/>
      <c r="G359" s="9"/>
      <c r="H359" s="35"/>
      <c r="I359" s="9"/>
      <c r="J359" s="9"/>
      <c r="K359" s="9"/>
      <c r="L359" s="9"/>
      <c r="M359" s="9"/>
      <c r="N359" s="9"/>
      <c r="O359" s="10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s="2" customFormat="1">
      <c r="A360" s="1"/>
      <c r="B360" s="3"/>
      <c r="D360" s="9"/>
      <c r="E360" s="9"/>
      <c r="F360" s="9"/>
      <c r="G360" s="9"/>
      <c r="H360" s="35"/>
      <c r="I360" s="9"/>
      <c r="J360" s="9"/>
      <c r="K360" s="9"/>
      <c r="L360" s="9"/>
      <c r="M360" s="9"/>
      <c r="N360" s="9"/>
      <c r="O360" s="10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s="2" customFormat="1">
      <c r="A361" s="1"/>
      <c r="B361" s="3"/>
      <c r="D361" s="9"/>
      <c r="E361" s="9"/>
      <c r="F361" s="9"/>
      <c r="G361" s="9"/>
      <c r="H361" s="35"/>
      <c r="I361" s="9"/>
      <c r="J361" s="9"/>
      <c r="K361" s="9"/>
      <c r="L361" s="9"/>
      <c r="M361" s="9"/>
      <c r="N361" s="9"/>
      <c r="O361" s="10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s="2" customFormat="1">
      <c r="A362" s="1"/>
      <c r="B362" s="3"/>
      <c r="D362" s="9"/>
      <c r="E362" s="9"/>
      <c r="F362" s="9"/>
      <c r="G362" s="9"/>
      <c r="H362" s="35"/>
      <c r="I362" s="9"/>
      <c r="J362" s="9"/>
      <c r="K362" s="9"/>
      <c r="L362" s="9"/>
      <c r="M362" s="9"/>
      <c r="N362" s="9"/>
      <c r="O362" s="10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s="2" customFormat="1">
      <c r="A363" s="1"/>
      <c r="B363" s="3"/>
      <c r="D363" s="9"/>
      <c r="E363" s="9"/>
      <c r="F363" s="9"/>
      <c r="G363" s="9"/>
      <c r="H363" s="35"/>
      <c r="I363" s="9"/>
      <c r="J363" s="9"/>
      <c r="K363" s="9"/>
      <c r="L363" s="9"/>
      <c r="M363" s="9"/>
      <c r="N363" s="9"/>
      <c r="O363" s="10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s="2" customFormat="1">
      <c r="A364" s="1"/>
      <c r="B364" s="3"/>
      <c r="D364" s="9"/>
      <c r="E364" s="9"/>
      <c r="F364" s="9"/>
      <c r="G364" s="9"/>
      <c r="H364" s="35"/>
      <c r="I364" s="9"/>
      <c r="J364" s="9"/>
      <c r="K364" s="9"/>
      <c r="L364" s="9"/>
      <c r="M364" s="9"/>
      <c r="N364" s="9"/>
      <c r="O364" s="10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s="2" customFormat="1">
      <c r="A365" s="1"/>
      <c r="B365" s="3"/>
      <c r="D365" s="9"/>
      <c r="E365" s="9"/>
      <c r="F365" s="9"/>
      <c r="G365" s="9"/>
      <c r="H365" s="35"/>
      <c r="I365" s="9"/>
      <c r="J365" s="9"/>
      <c r="K365" s="9"/>
      <c r="L365" s="9"/>
      <c r="M365" s="9"/>
      <c r="N365" s="9"/>
      <c r="O365" s="10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s="2" customFormat="1">
      <c r="A366" s="1"/>
      <c r="B366" s="3"/>
      <c r="D366" s="9"/>
      <c r="E366" s="9"/>
      <c r="F366" s="9"/>
      <c r="G366" s="9"/>
      <c r="H366" s="35"/>
      <c r="I366" s="9"/>
      <c r="J366" s="9"/>
      <c r="K366" s="9"/>
      <c r="L366" s="9"/>
      <c r="M366" s="9"/>
      <c r="N366" s="9"/>
      <c r="O366" s="10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s="2" customFormat="1">
      <c r="A367" s="1"/>
      <c r="B367" s="3"/>
      <c r="D367" s="9"/>
      <c r="E367" s="9"/>
      <c r="F367" s="9"/>
      <c r="G367" s="9"/>
      <c r="H367" s="35"/>
      <c r="I367" s="9"/>
      <c r="J367" s="9"/>
      <c r="K367" s="9"/>
      <c r="L367" s="9"/>
      <c r="M367" s="9"/>
      <c r="N367" s="9"/>
      <c r="O367" s="10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s="2" customFormat="1">
      <c r="A368" s="1"/>
      <c r="B368" s="3"/>
      <c r="D368" s="9"/>
      <c r="E368" s="9"/>
      <c r="F368" s="9"/>
      <c r="G368" s="9"/>
      <c r="H368" s="35"/>
      <c r="I368" s="9"/>
      <c r="J368" s="9"/>
      <c r="K368" s="9"/>
      <c r="L368" s="9"/>
      <c r="M368" s="9"/>
      <c r="N368" s="9"/>
      <c r="O368" s="10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s="2" customFormat="1">
      <c r="A369" s="1"/>
      <c r="B369" s="3"/>
      <c r="D369" s="9"/>
      <c r="E369" s="9"/>
      <c r="F369" s="9"/>
      <c r="G369" s="9"/>
      <c r="H369" s="35"/>
      <c r="I369" s="9"/>
      <c r="J369" s="9"/>
      <c r="K369" s="9"/>
      <c r="L369" s="9"/>
      <c r="M369" s="9"/>
      <c r="N369" s="9"/>
      <c r="O369" s="10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s="2" customFormat="1">
      <c r="A370" s="1"/>
      <c r="B370" s="3"/>
      <c r="D370" s="9"/>
      <c r="E370" s="9"/>
      <c r="F370" s="9"/>
      <c r="G370" s="9"/>
      <c r="H370" s="35"/>
      <c r="I370" s="9"/>
      <c r="J370" s="9"/>
      <c r="K370" s="9"/>
      <c r="L370" s="9"/>
      <c r="M370" s="9"/>
      <c r="N370" s="9"/>
      <c r="O370" s="10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s="2" customFormat="1">
      <c r="A371" s="1"/>
      <c r="B371" s="3"/>
      <c r="D371" s="9"/>
      <c r="E371" s="9"/>
      <c r="F371" s="9"/>
      <c r="G371" s="9"/>
      <c r="H371" s="35"/>
      <c r="I371" s="9"/>
      <c r="J371" s="9"/>
      <c r="K371" s="9"/>
      <c r="L371" s="9"/>
      <c r="M371" s="9"/>
      <c r="N371" s="9"/>
      <c r="O371" s="10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s="2" customFormat="1">
      <c r="A372" s="1"/>
      <c r="B372" s="3"/>
      <c r="D372" s="9"/>
      <c r="E372" s="9"/>
      <c r="F372" s="9"/>
      <c r="G372" s="9"/>
      <c r="H372" s="35"/>
      <c r="I372" s="9"/>
      <c r="J372" s="9"/>
      <c r="K372" s="9"/>
      <c r="L372" s="9"/>
      <c r="M372" s="9"/>
      <c r="N372" s="9"/>
      <c r="O372" s="10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s="2" customFormat="1">
      <c r="A373" s="1"/>
      <c r="B373" s="3"/>
      <c r="D373" s="9"/>
      <c r="E373" s="9"/>
      <c r="F373" s="9"/>
      <c r="G373" s="9"/>
      <c r="H373" s="35"/>
      <c r="I373" s="9"/>
      <c r="J373" s="9"/>
      <c r="K373" s="9"/>
      <c r="L373" s="9"/>
      <c r="M373" s="9"/>
      <c r="N373" s="9"/>
      <c r="O373" s="10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s="2" customFormat="1">
      <c r="A374" s="1"/>
      <c r="B374" s="3"/>
      <c r="D374" s="9"/>
      <c r="E374" s="9"/>
      <c r="F374" s="9"/>
      <c r="G374" s="9"/>
      <c r="H374" s="35"/>
      <c r="I374" s="9"/>
      <c r="J374" s="9"/>
      <c r="K374" s="9"/>
      <c r="L374" s="9"/>
      <c r="M374" s="9"/>
      <c r="N374" s="9"/>
      <c r="O374" s="10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s="2" customFormat="1">
      <c r="A375" s="1"/>
      <c r="B375" s="3"/>
      <c r="D375" s="9"/>
      <c r="E375" s="9"/>
      <c r="F375" s="9"/>
      <c r="G375" s="9"/>
      <c r="H375" s="35"/>
      <c r="I375" s="9"/>
      <c r="J375" s="9"/>
      <c r="K375" s="9"/>
      <c r="L375" s="9"/>
      <c r="M375" s="9"/>
      <c r="N375" s="9"/>
      <c r="O375" s="10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s="2" customFormat="1">
      <c r="A376" s="1"/>
      <c r="B376" s="3"/>
      <c r="D376" s="9"/>
      <c r="E376" s="9"/>
      <c r="F376" s="9"/>
      <c r="G376" s="9"/>
      <c r="H376" s="35"/>
      <c r="I376" s="9"/>
      <c r="J376" s="9"/>
      <c r="K376" s="9"/>
      <c r="L376" s="9"/>
      <c r="M376" s="9"/>
      <c r="N376" s="9"/>
      <c r="O376" s="10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s="2" customFormat="1">
      <c r="A377" s="1"/>
      <c r="B377" s="3"/>
      <c r="D377" s="9"/>
      <c r="E377" s="9"/>
      <c r="F377" s="9"/>
      <c r="G377" s="9"/>
      <c r="H377" s="35"/>
      <c r="I377" s="9"/>
      <c r="J377" s="9"/>
      <c r="K377" s="9"/>
      <c r="L377" s="9"/>
      <c r="M377" s="9"/>
      <c r="N377" s="9"/>
      <c r="O377" s="10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s="2" customFormat="1">
      <c r="A378" s="1"/>
      <c r="B378" s="3"/>
      <c r="D378" s="9"/>
      <c r="E378" s="9"/>
      <c r="F378" s="9"/>
      <c r="G378" s="9"/>
      <c r="H378" s="35"/>
      <c r="I378" s="9"/>
      <c r="J378" s="9"/>
      <c r="K378" s="9"/>
      <c r="L378" s="9"/>
      <c r="M378" s="9"/>
      <c r="N378" s="9"/>
      <c r="O378" s="10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s="2" customFormat="1">
      <c r="A379" s="1"/>
      <c r="B379" s="3"/>
      <c r="D379" s="9"/>
      <c r="E379" s="9"/>
      <c r="F379" s="9"/>
      <c r="G379" s="9"/>
      <c r="H379" s="35"/>
      <c r="I379" s="9"/>
      <c r="J379" s="9"/>
      <c r="K379" s="9"/>
      <c r="L379" s="9"/>
      <c r="M379" s="9"/>
      <c r="N379" s="9"/>
      <c r="O379" s="10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s="2" customFormat="1">
      <c r="A380" s="1"/>
      <c r="B380" s="3"/>
      <c r="D380" s="9"/>
      <c r="E380" s="9"/>
      <c r="F380" s="9"/>
      <c r="G380" s="9"/>
      <c r="H380" s="35"/>
      <c r="I380" s="9"/>
      <c r="J380" s="9"/>
      <c r="K380" s="9"/>
      <c r="L380" s="9"/>
      <c r="M380" s="9"/>
      <c r="N380" s="9"/>
      <c r="O380" s="10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s="2" customFormat="1">
      <c r="A381" s="1"/>
      <c r="B381" s="3"/>
      <c r="D381" s="9"/>
      <c r="E381" s="9"/>
      <c r="F381" s="9"/>
      <c r="G381" s="9"/>
      <c r="H381" s="35"/>
      <c r="I381" s="9"/>
      <c r="J381" s="9"/>
      <c r="K381" s="9"/>
      <c r="L381" s="9"/>
      <c r="M381" s="9"/>
      <c r="N381" s="9"/>
      <c r="O381" s="10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s="2" customFormat="1">
      <c r="A382" s="1"/>
      <c r="B382" s="3"/>
      <c r="D382" s="9"/>
      <c r="E382" s="9"/>
      <c r="F382" s="9"/>
      <c r="G382" s="9"/>
      <c r="H382" s="35"/>
      <c r="I382" s="9"/>
      <c r="J382" s="9"/>
      <c r="K382" s="9"/>
      <c r="L382" s="9"/>
      <c r="M382" s="9"/>
      <c r="N382" s="9"/>
      <c r="O382" s="10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s="2" customFormat="1">
      <c r="A383" s="1"/>
      <c r="B383" s="3"/>
      <c r="D383" s="9"/>
      <c r="E383" s="9"/>
      <c r="F383" s="9"/>
      <c r="G383" s="9"/>
      <c r="H383" s="35"/>
      <c r="I383" s="9"/>
      <c r="J383" s="9"/>
      <c r="K383" s="9"/>
      <c r="L383" s="9"/>
      <c r="M383" s="9"/>
      <c r="N383" s="9"/>
      <c r="O383" s="10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s="2" customFormat="1">
      <c r="A384" s="1"/>
      <c r="B384" s="3"/>
      <c r="D384" s="9"/>
      <c r="E384" s="9"/>
      <c r="F384" s="9"/>
      <c r="G384" s="9"/>
      <c r="H384" s="35"/>
      <c r="I384" s="9"/>
      <c r="J384" s="9"/>
      <c r="K384" s="9"/>
      <c r="L384" s="9"/>
      <c r="M384" s="9"/>
      <c r="N384" s="9"/>
      <c r="O384" s="10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s="2" customFormat="1">
      <c r="A385" s="1"/>
      <c r="B385" s="3"/>
      <c r="D385" s="9"/>
      <c r="E385" s="9"/>
      <c r="F385" s="9"/>
      <c r="G385" s="9"/>
      <c r="H385" s="35"/>
      <c r="I385" s="9"/>
      <c r="J385" s="9"/>
      <c r="K385" s="9"/>
      <c r="L385" s="9"/>
      <c r="M385" s="9"/>
      <c r="N385" s="9"/>
      <c r="O385" s="10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s="2" customFormat="1">
      <c r="A386" s="1"/>
      <c r="B386" s="3"/>
      <c r="D386" s="9"/>
      <c r="E386" s="9"/>
      <c r="F386" s="9"/>
      <c r="G386" s="9"/>
      <c r="H386" s="35"/>
      <c r="I386" s="9"/>
      <c r="J386" s="9"/>
      <c r="K386" s="9"/>
      <c r="L386" s="9"/>
      <c r="M386" s="9"/>
      <c r="N386" s="9"/>
      <c r="O386" s="10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s="2" customFormat="1">
      <c r="A387" s="1"/>
      <c r="B387" s="3"/>
      <c r="D387" s="9"/>
      <c r="E387" s="9"/>
      <c r="F387" s="9"/>
      <c r="G387" s="9"/>
      <c r="H387" s="35"/>
      <c r="I387" s="9"/>
      <c r="J387" s="9"/>
      <c r="K387" s="9"/>
      <c r="L387" s="9"/>
      <c r="M387" s="9"/>
      <c r="N387" s="9"/>
      <c r="O387" s="10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s="2" customFormat="1">
      <c r="A388" s="1"/>
      <c r="B388" s="3"/>
      <c r="D388" s="9"/>
      <c r="E388" s="9"/>
      <c r="F388" s="9"/>
      <c r="G388" s="9"/>
      <c r="H388" s="35"/>
      <c r="I388" s="9"/>
      <c r="J388" s="9"/>
      <c r="K388" s="9"/>
      <c r="L388" s="9"/>
      <c r="M388" s="9"/>
      <c r="N388" s="9"/>
      <c r="O388" s="10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s="2" customFormat="1">
      <c r="A389" s="1"/>
      <c r="B389" s="3"/>
      <c r="D389" s="9"/>
      <c r="E389" s="9"/>
      <c r="F389" s="9"/>
      <c r="G389" s="9"/>
      <c r="H389" s="35"/>
      <c r="I389" s="9"/>
      <c r="J389" s="9"/>
      <c r="K389" s="9"/>
      <c r="L389" s="9"/>
      <c r="M389" s="9"/>
      <c r="N389" s="9"/>
      <c r="O389" s="10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s="2" customFormat="1">
      <c r="A390" s="1"/>
      <c r="B390" s="3"/>
      <c r="D390" s="9"/>
      <c r="E390" s="9"/>
      <c r="F390" s="9"/>
      <c r="G390" s="9"/>
      <c r="H390" s="35"/>
      <c r="I390" s="9"/>
      <c r="J390" s="9"/>
      <c r="K390" s="9"/>
      <c r="L390" s="9"/>
      <c r="M390" s="9"/>
      <c r="N390" s="9"/>
      <c r="O390" s="10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s="2" customFormat="1">
      <c r="A391" s="1"/>
      <c r="B391" s="3"/>
      <c r="D391" s="9"/>
      <c r="E391" s="9"/>
      <c r="F391" s="9"/>
      <c r="G391" s="9"/>
      <c r="H391" s="35"/>
      <c r="I391" s="9"/>
      <c r="J391" s="9"/>
      <c r="K391" s="9"/>
      <c r="L391" s="9"/>
      <c r="M391" s="9"/>
      <c r="N391" s="9"/>
      <c r="O391" s="10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s="2" customFormat="1">
      <c r="A392" s="1"/>
      <c r="B392" s="3"/>
      <c r="D392" s="9"/>
      <c r="E392" s="9"/>
      <c r="F392" s="9"/>
      <c r="G392" s="9"/>
      <c r="H392" s="35"/>
      <c r="I392" s="9"/>
      <c r="J392" s="9"/>
      <c r="K392" s="9"/>
      <c r="L392" s="9"/>
      <c r="M392" s="9"/>
      <c r="N392" s="9"/>
      <c r="O392" s="10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s="2" customFormat="1">
      <c r="A393" s="1"/>
      <c r="B393" s="3"/>
      <c r="D393" s="9"/>
      <c r="E393" s="9"/>
      <c r="F393" s="9"/>
      <c r="G393" s="9"/>
      <c r="H393" s="35"/>
      <c r="I393" s="9"/>
      <c r="J393" s="9"/>
      <c r="K393" s="9"/>
      <c r="L393" s="9"/>
      <c r="M393" s="9"/>
      <c r="N393" s="9"/>
      <c r="O393" s="10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s="2" customFormat="1">
      <c r="A394" s="1"/>
      <c r="B394" s="3"/>
      <c r="D394" s="9"/>
      <c r="E394" s="9"/>
      <c r="F394" s="9"/>
      <c r="G394" s="9"/>
      <c r="H394" s="35"/>
      <c r="I394" s="9"/>
      <c r="J394" s="9"/>
      <c r="K394" s="9"/>
      <c r="L394" s="9"/>
      <c r="M394" s="9"/>
      <c r="N394" s="9"/>
      <c r="O394" s="10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s="2" customFormat="1">
      <c r="A395" s="1"/>
      <c r="B395" s="3"/>
      <c r="D395" s="9"/>
      <c r="E395" s="9"/>
      <c r="F395" s="9"/>
      <c r="G395" s="9"/>
      <c r="H395" s="35"/>
      <c r="I395" s="9"/>
      <c r="J395" s="9"/>
      <c r="K395" s="9"/>
      <c r="L395" s="9"/>
      <c r="M395" s="9"/>
      <c r="N395" s="9"/>
      <c r="O395" s="10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s="2" customFormat="1">
      <c r="A396" s="1"/>
      <c r="B396" s="3"/>
      <c r="D396" s="9"/>
      <c r="E396" s="9"/>
      <c r="F396" s="9"/>
      <c r="G396" s="9"/>
      <c r="H396" s="35"/>
      <c r="I396" s="9"/>
      <c r="J396" s="9"/>
      <c r="K396" s="9"/>
      <c r="L396" s="9"/>
      <c r="M396" s="9"/>
      <c r="N396" s="9"/>
      <c r="O396" s="10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s="2" customFormat="1">
      <c r="A397" s="1"/>
      <c r="B397" s="3"/>
      <c r="D397" s="9"/>
      <c r="E397" s="9"/>
      <c r="F397" s="9"/>
      <c r="G397" s="9"/>
      <c r="H397" s="35"/>
      <c r="I397" s="9"/>
      <c r="J397" s="9"/>
      <c r="K397" s="9"/>
      <c r="L397" s="9"/>
      <c r="M397" s="9"/>
      <c r="N397" s="9"/>
      <c r="O397" s="10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s="2" customFormat="1">
      <c r="A398" s="1"/>
      <c r="B398" s="3"/>
      <c r="D398" s="9"/>
      <c r="E398" s="9"/>
      <c r="F398" s="9"/>
      <c r="G398" s="9"/>
      <c r="H398" s="35"/>
      <c r="I398" s="9"/>
      <c r="J398" s="9"/>
      <c r="K398" s="9"/>
      <c r="L398" s="9"/>
      <c r="M398" s="9"/>
      <c r="N398" s="9"/>
      <c r="O398" s="10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s="2" customFormat="1">
      <c r="A399" s="1"/>
      <c r="B399" s="3"/>
      <c r="D399" s="9"/>
      <c r="E399" s="9"/>
      <c r="F399" s="9"/>
      <c r="G399" s="9"/>
      <c r="H399" s="35"/>
      <c r="I399" s="9"/>
      <c r="J399" s="9"/>
      <c r="K399" s="9"/>
      <c r="L399" s="9"/>
      <c r="M399" s="9"/>
      <c r="N399" s="9"/>
      <c r="O399" s="10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s="2" customFormat="1">
      <c r="A400" s="1"/>
      <c r="B400" s="3"/>
      <c r="D400" s="9"/>
      <c r="E400" s="9"/>
      <c r="F400" s="9"/>
      <c r="G400" s="9"/>
      <c r="H400" s="35"/>
      <c r="I400" s="9"/>
      <c r="J400" s="9"/>
      <c r="K400" s="9"/>
      <c r="L400" s="9"/>
      <c r="M400" s="9"/>
      <c r="N400" s="9"/>
      <c r="O400" s="10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s="2" customFormat="1">
      <c r="A401" s="1"/>
      <c r="B401" s="3"/>
      <c r="D401" s="9"/>
      <c r="E401" s="9"/>
      <c r="F401" s="9"/>
      <c r="G401" s="9"/>
      <c r="H401" s="35"/>
      <c r="I401" s="9"/>
      <c r="J401" s="9"/>
      <c r="K401" s="9"/>
      <c r="L401" s="9"/>
      <c r="M401" s="9"/>
      <c r="N401" s="9"/>
      <c r="O401" s="10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s="2" customFormat="1">
      <c r="A402" s="1"/>
      <c r="B402" s="3"/>
      <c r="D402" s="9"/>
      <c r="E402" s="9"/>
      <c r="F402" s="9"/>
      <c r="G402" s="9"/>
      <c r="H402" s="35"/>
      <c r="I402" s="9"/>
      <c r="J402" s="9"/>
      <c r="K402" s="9"/>
      <c r="L402" s="9"/>
      <c r="M402" s="9"/>
      <c r="N402" s="9"/>
      <c r="O402" s="10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s="2" customFormat="1">
      <c r="A403" s="1"/>
      <c r="B403" s="3"/>
      <c r="D403" s="9"/>
      <c r="E403" s="9"/>
      <c r="F403" s="9"/>
      <c r="G403" s="9"/>
      <c r="H403" s="35"/>
      <c r="I403" s="9"/>
      <c r="J403" s="9"/>
      <c r="K403" s="9"/>
      <c r="L403" s="9"/>
      <c r="M403" s="9"/>
      <c r="N403" s="9"/>
      <c r="O403" s="10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s="2" customFormat="1">
      <c r="A404" s="1"/>
      <c r="B404" s="3"/>
      <c r="D404" s="9"/>
      <c r="E404" s="9"/>
      <c r="F404" s="9"/>
      <c r="G404" s="9"/>
      <c r="H404" s="35"/>
      <c r="I404" s="9"/>
      <c r="J404" s="9"/>
      <c r="K404" s="9"/>
      <c r="L404" s="9"/>
      <c r="M404" s="9"/>
      <c r="N404" s="9"/>
      <c r="O404" s="10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s="2" customFormat="1">
      <c r="A405" s="1"/>
      <c r="B405" s="3"/>
      <c r="D405" s="9"/>
      <c r="E405" s="9"/>
      <c r="F405" s="9"/>
      <c r="G405" s="9"/>
      <c r="H405" s="35"/>
      <c r="I405" s="9"/>
      <c r="J405" s="9"/>
      <c r="K405" s="9"/>
      <c r="L405" s="9"/>
      <c r="M405" s="9"/>
      <c r="N405" s="9"/>
      <c r="O405" s="10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s="2" customFormat="1">
      <c r="A406" s="1"/>
      <c r="B406" s="3"/>
      <c r="D406" s="9"/>
      <c r="E406" s="9"/>
      <c r="F406" s="9"/>
      <c r="G406" s="9"/>
      <c r="H406" s="35"/>
      <c r="I406" s="9"/>
      <c r="J406" s="9"/>
      <c r="K406" s="9"/>
      <c r="L406" s="9"/>
      <c r="M406" s="9"/>
      <c r="N406" s="9"/>
      <c r="O406" s="10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s="2" customFormat="1">
      <c r="A407" s="1"/>
      <c r="B407" s="3"/>
      <c r="D407" s="9"/>
      <c r="E407" s="9"/>
      <c r="F407" s="9"/>
      <c r="G407" s="9"/>
      <c r="H407" s="35"/>
      <c r="I407" s="9"/>
      <c r="J407" s="9"/>
      <c r="K407" s="9"/>
      <c r="L407" s="9"/>
      <c r="M407" s="9"/>
      <c r="N407" s="9"/>
      <c r="O407" s="3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s="2" customFormat="1">
      <c r="A408" s="1"/>
      <c r="B408" s="3"/>
      <c r="D408" s="9"/>
      <c r="E408" s="9"/>
      <c r="F408" s="9"/>
      <c r="G408" s="9"/>
      <c r="H408" s="35"/>
      <c r="I408" s="9"/>
      <c r="J408" s="9"/>
      <c r="K408" s="9"/>
      <c r="L408" s="9"/>
      <c r="M408" s="9"/>
      <c r="N408" s="9"/>
      <c r="O408" s="3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s="2" customFormat="1">
      <c r="A409" s="1"/>
      <c r="B409" s="3"/>
      <c r="D409" s="9"/>
      <c r="E409" s="9"/>
      <c r="F409" s="9"/>
      <c r="G409" s="9"/>
      <c r="H409" s="35"/>
      <c r="I409" s="9"/>
      <c r="J409" s="9"/>
      <c r="K409" s="9"/>
      <c r="L409" s="9"/>
      <c r="M409" s="9"/>
      <c r="N409" s="9"/>
      <c r="O409" s="3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>
      <c r="D410" s="9"/>
      <c r="E410" s="9"/>
      <c r="F410" s="9"/>
      <c r="G410" s="9"/>
      <c r="H410" s="35"/>
    </row>
    <row r="411" spans="1:29">
      <c r="D411" s="9"/>
      <c r="E411" s="9"/>
      <c r="F411" s="9"/>
      <c r="G411" s="9"/>
      <c r="H411" s="35"/>
    </row>
    <row r="412" spans="1:29">
      <c r="D412" s="9"/>
      <c r="E412" s="9"/>
      <c r="F412" s="9"/>
      <c r="G412" s="9"/>
      <c r="H412" s="35"/>
    </row>
    <row r="413" spans="1:29">
      <c r="D413" s="9"/>
      <c r="E413" s="9"/>
      <c r="F413" s="9"/>
      <c r="G413" s="9"/>
      <c r="H413" s="35"/>
    </row>
    <row r="414" spans="1:29">
      <c r="D414" s="9"/>
      <c r="E414" s="9"/>
      <c r="F414" s="9"/>
      <c r="G414" s="9"/>
      <c r="H414" s="35"/>
    </row>
    <row r="415" spans="1:29">
      <c r="D415" s="9"/>
      <c r="E415" s="9"/>
      <c r="F415" s="9"/>
      <c r="G415" s="9"/>
      <c r="H415" s="35"/>
    </row>
    <row r="416" spans="1:29">
      <c r="D416" s="9"/>
      <c r="E416" s="9"/>
      <c r="F416" s="9"/>
      <c r="G416" s="9"/>
      <c r="H416" s="35"/>
    </row>
    <row r="417" spans="4:8">
      <c r="D417" s="9"/>
      <c r="E417" s="9"/>
      <c r="F417" s="9"/>
      <c r="G417" s="9"/>
      <c r="H417" s="35"/>
    </row>
    <row r="418" spans="4:8">
      <c r="D418" s="9"/>
      <c r="E418" s="9"/>
      <c r="F418" s="9"/>
      <c r="G418" s="9"/>
      <c r="H418" s="35"/>
    </row>
    <row r="419" spans="4:8">
      <c r="D419" s="9"/>
      <c r="E419" s="9"/>
      <c r="F419" s="9"/>
      <c r="G419" s="9"/>
      <c r="H419" s="35"/>
    </row>
    <row r="420" spans="4:8">
      <c r="D420" s="9"/>
      <c r="E420" s="9"/>
      <c r="F420" s="9"/>
      <c r="G420" s="9"/>
      <c r="H420" s="35"/>
    </row>
    <row r="421" spans="4:8">
      <c r="D421" s="9"/>
      <c r="E421" s="9"/>
      <c r="F421" s="9"/>
      <c r="G421" s="9"/>
      <c r="H421" s="35"/>
    </row>
  </sheetData>
  <mergeCells count="38">
    <mergeCell ref="B2:M2"/>
    <mergeCell ref="B3:E3"/>
    <mergeCell ref="B4:C4"/>
    <mergeCell ref="E8:E9"/>
    <mergeCell ref="D8:D9"/>
    <mergeCell ref="G8:G9"/>
    <mergeCell ref="H8:H9"/>
    <mergeCell ref="M3:N3"/>
    <mergeCell ref="M4:N4"/>
    <mergeCell ref="M5:N5"/>
    <mergeCell ref="I3:J3"/>
    <mergeCell ref="I4:J4"/>
    <mergeCell ref="G5:H5"/>
    <mergeCell ref="B5:C5"/>
    <mergeCell ref="F8:F9"/>
    <mergeCell ref="M6:N6"/>
    <mergeCell ref="B26:C26"/>
    <mergeCell ref="H28:H30"/>
    <mergeCell ref="E28:G30"/>
    <mergeCell ref="B25:H25"/>
    <mergeCell ref="B12:C12"/>
    <mergeCell ref="B19:C19"/>
    <mergeCell ref="B16:C16"/>
    <mergeCell ref="B23:C23"/>
    <mergeCell ref="K3:L3"/>
    <mergeCell ref="K4:L4"/>
    <mergeCell ref="K5:L5"/>
    <mergeCell ref="I5:J5"/>
    <mergeCell ref="G3:H3"/>
    <mergeCell ref="G4:H4"/>
    <mergeCell ref="K6:L6"/>
    <mergeCell ref="B17:C17"/>
    <mergeCell ref="B18:C18"/>
    <mergeCell ref="B13:C13"/>
    <mergeCell ref="B8:C9"/>
    <mergeCell ref="B11:C11"/>
    <mergeCell ref="B14:C14"/>
    <mergeCell ref="B10:C10"/>
  </mergeCells>
  <hyperlinks>
    <hyperlink ref="B11:C11" location="Login!A1" display="Login" xr:uid="{119D9120-645E-4497-AB3A-3AE67AC985AC}"/>
    <hyperlink ref="B13:C13" location="Feature3!A1" display="Feature3" xr:uid="{ED91EEEA-7708-4B0F-98A3-5C02FB83C762}"/>
    <hyperlink ref="B12:C12" location="Feature2!A1" display="Feature2" xr:uid="{75F566CC-1741-4A02-9C12-6D831536A8F5}"/>
  </hyperlinks>
  <pageMargins left="0.7" right="0.7" top="0.75" bottom="0.75" header="0.3" footer="0.3"/>
  <pageSetup paperSize="9" scale="76" pageOrder="overThenDown" orientation="portrait" useFirstPageNumber="1" horizontalDpi="1200" verticalDpi="1200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336C-532E-4E85-9806-4726D8963219}">
  <dimension ref="B1:R47"/>
  <sheetViews>
    <sheetView tabSelected="1" topLeftCell="B1" zoomScale="69" zoomScaleNormal="70" workbookViewId="0">
      <selection activeCell="B42" sqref="B42:L42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2.1796875" style="33" bestFit="1" customWidth="1"/>
    <col min="4" max="4" width="11.81640625" style="33" customWidth="1"/>
    <col min="5" max="5" width="32" style="33" customWidth="1"/>
    <col min="6" max="6" width="27.7265625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7" width="23.54296875" style="4" customWidth="1"/>
    <col min="18" max="16384" width="9.1796875" style="4"/>
  </cols>
  <sheetData>
    <row r="1" spans="2:18">
      <c r="O1" s="5"/>
    </row>
    <row r="2" spans="2:18" ht="21.75" customHeight="1">
      <c r="B2" s="276">
        <f>SUM(O3:O5)/O7</f>
        <v>0</v>
      </c>
      <c r="C2" s="47"/>
      <c r="D2" s="47"/>
      <c r="E2" s="47"/>
      <c r="F2" s="47"/>
      <c r="G2" s="60"/>
      <c r="H2" s="24" t="s">
        <v>40</v>
      </c>
      <c r="I2" s="63" t="str">
        <f>[1]Cover!B3</f>
        <v xml:space="preserve">Project Name </v>
      </c>
      <c r="J2" s="37"/>
      <c r="K2" s="16"/>
      <c r="L2" s="15"/>
      <c r="N2" s="56" t="s">
        <v>41</v>
      </c>
      <c r="O2" s="55">
        <f>SUM(O3:O5)/O7</f>
        <v>0</v>
      </c>
      <c r="Q2" s="84" t="s">
        <v>42</v>
      </c>
    </row>
    <row r="3" spans="2:18" ht="23.5">
      <c r="B3" s="277"/>
      <c r="C3" s="48"/>
      <c r="D3" s="48"/>
      <c r="E3" s="48"/>
      <c r="F3" s="48"/>
      <c r="G3" s="61"/>
      <c r="H3" s="23" t="s">
        <v>43</v>
      </c>
      <c r="I3" s="59" t="str">
        <f>[1]Cover!B11</f>
        <v>TC01 Login</v>
      </c>
      <c r="J3" s="38"/>
      <c r="K3" s="12"/>
      <c r="L3" s="13"/>
      <c r="N3" s="57" t="s">
        <v>44</v>
      </c>
      <c r="O3" s="58">
        <f>COUNTIF(K7:K42,1)</f>
        <v>0</v>
      </c>
      <c r="Q3" s="84" t="s">
        <v>45</v>
      </c>
      <c r="R3" s="85">
        <f>COUNTIF(D8:D16,"Positive")</f>
        <v>2</v>
      </c>
    </row>
    <row r="4" spans="2:18">
      <c r="B4" s="30" t="s">
        <v>46</v>
      </c>
      <c r="C4" s="49"/>
      <c r="D4" s="49"/>
      <c r="E4" s="49"/>
      <c r="F4" s="49"/>
      <c r="G4" s="62"/>
      <c r="H4" s="23" t="s">
        <v>47</v>
      </c>
      <c r="I4" s="50" t="s">
        <v>48</v>
      </c>
      <c r="J4" s="38"/>
      <c r="K4" s="12"/>
      <c r="L4" s="13"/>
      <c r="M4" s="22"/>
      <c r="N4" s="17" t="s">
        <v>49</v>
      </c>
      <c r="O4" s="18">
        <f>COUNTIF(K7:K42,0)</f>
        <v>0</v>
      </c>
      <c r="P4" s="5"/>
      <c r="Q4" s="84" t="s">
        <v>50</v>
      </c>
      <c r="R4" s="85">
        <f>COUNTIF(D9:D16,"Negative")</f>
        <v>1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COUNTIF(K9:K44,"Block")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60</v>
      </c>
      <c r="N6" s="19" t="s">
        <v>61</v>
      </c>
      <c r="O6" s="20">
        <f>COUNTIF(K7:K42,".")</f>
        <v>11</v>
      </c>
    </row>
    <row r="7" spans="2:18">
      <c r="B7" s="280" t="s">
        <v>62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N7" s="21" t="s">
        <v>63</v>
      </c>
      <c r="O7" s="21">
        <f>SUM(O3:O6)</f>
        <v>11</v>
      </c>
    </row>
    <row r="8" spans="2:18" ht="15" customHeight="1">
      <c r="B8" s="268" t="s">
        <v>64</v>
      </c>
      <c r="C8" s="269" t="s">
        <v>65</v>
      </c>
      <c r="D8" s="269" t="s">
        <v>66</v>
      </c>
      <c r="E8" s="269" t="s">
        <v>67</v>
      </c>
      <c r="F8" s="269" t="s">
        <v>68</v>
      </c>
      <c r="G8" s="125" t="s">
        <v>69</v>
      </c>
      <c r="H8" s="68" t="s">
        <v>70</v>
      </c>
      <c r="I8" s="69" t="s">
        <v>71</v>
      </c>
      <c r="J8" s="86"/>
      <c r="K8" s="281" t="s">
        <v>633</v>
      </c>
      <c r="L8" s="265"/>
    </row>
    <row r="9" spans="2:18">
      <c r="B9" s="268"/>
      <c r="C9" s="269"/>
      <c r="D9" s="269"/>
      <c r="E9" s="269"/>
      <c r="F9" s="269"/>
      <c r="G9" s="125" t="s">
        <v>72</v>
      </c>
      <c r="H9" s="68" t="s">
        <v>73</v>
      </c>
      <c r="I9" s="69" t="s">
        <v>74</v>
      </c>
      <c r="J9" s="86"/>
      <c r="K9" s="281"/>
      <c r="L9" s="265"/>
    </row>
    <row r="10" spans="2:18">
      <c r="B10" s="268"/>
      <c r="C10" s="269"/>
      <c r="D10" s="269"/>
      <c r="E10" s="269"/>
      <c r="F10" s="269"/>
      <c r="G10" s="125" t="s">
        <v>75</v>
      </c>
      <c r="H10" s="68" t="s">
        <v>76</v>
      </c>
      <c r="I10" s="69"/>
      <c r="J10" s="86"/>
      <c r="K10" s="281"/>
      <c r="L10" s="265"/>
    </row>
    <row r="11" spans="2:18" ht="15" customHeight="1">
      <c r="B11" s="268" t="s">
        <v>77</v>
      </c>
      <c r="C11" s="275" t="s">
        <v>78</v>
      </c>
      <c r="D11" s="269" t="s">
        <v>66</v>
      </c>
      <c r="E11" s="269" t="s">
        <v>67</v>
      </c>
      <c r="F11" s="269"/>
      <c r="G11" s="125" t="s">
        <v>69</v>
      </c>
      <c r="H11" s="126" t="s">
        <v>79</v>
      </c>
      <c r="I11" s="127" t="s">
        <v>80</v>
      </c>
      <c r="J11" s="86"/>
      <c r="K11" s="281"/>
      <c r="L11" s="265" t="s">
        <v>81</v>
      </c>
    </row>
    <row r="12" spans="2:18">
      <c r="B12" s="268"/>
      <c r="C12" s="275"/>
      <c r="D12" s="269"/>
      <c r="E12" s="269"/>
      <c r="F12" s="269"/>
      <c r="G12" s="125" t="s">
        <v>72</v>
      </c>
      <c r="H12" s="126" t="s">
        <v>82</v>
      </c>
      <c r="I12" s="127" t="s">
        <v>83</v>
      </c>
      <c r="J12" s="86"/>
      <c r="K12" s="281"/>
      <c r="L12" s="265"/>
    </row>
    <row r="13" spans="2:18">
      <c r="B13" s="268"/>
      <c r="C13" s="275"/>
      <c r="D13" s="269"/>
      <c r="E13" s="269"/>
      <c r="F13" s="269"/>
      <c r="G13" s="125" t="s">
        <v>84</v>
      </c>
      <c r="H13" s="126" t="s">
        <v>85</v>
      </c>
      <c r="I13" s="127" t="s">
        <v>83</v>
      </c>
      <c r="J13" s="86"/>
      <c r="K13" s="281"/>
      <c r="L13" s="265"/>
    </row>
    <row r="14" spans="2:18">
      <c r="B14" s="268"/>
      <c r="C14" s="275"/>
      <c r="D14" s="269"/>
      <c r="E14" s="269"/>
      <c r="F14" s="269"/>
      <c r="G14" s="125" t="s">
        <v>75</v>
      </c>
      <c r="H14" s="126" t="s">
        <v>86</v>
      </c>
      <c r="I14" s="127" t="s">
        <v>87</v>
      </c>
      <c r="J14" s="123"/>
      <c r="K14" s="281"/>
      <c r="L14" s="265"/>
    </row>
    <row r="15" spans="2:18">
      <c r="B15" s="274" t="s">
        <v>88</v>
      </c>
      <c r="C15" s="274"/>
      <c r="D15" s="274"/>
      <c r="E15" s="274"/>
      <c r="F15" s="274"/>
      <c r="G15" s="274"/>
      <c r="H15" s="274"/>
      <c r="I15" s="274"/>
      <c r="J15" s="274"/>
      <c r="K15" s="274"/>
      <c r="L15" s="274"/>
    </row>
    <row r="16" spans="2:18" ht="29">
      <c r="B16" s="133" t="s">
        <v>89</v>
      </c>
      <c r="C16" s="133" t="s">
        <v>90</v>
      </c>
      <c r="D16" s="133" t="s">
        <v>91</v>
      </c>
      <c r="E16" s="117" t="s">
        <v>67</v>
      </c>
      <c r="F16" s="117"/>
      <c r="G16" s="125" t="s">
        <v>69</v>
      </c>
      <c r="H16" s="68" t="s">
        <v>92</v>
      </c>
      <c r="I16" s="69" t="s">
        <v>93</v>
      </c>
      <c r="J16" s="134"/>
      <c r="K16" s="211" t="s">
        <v>633</v>
      </c>
      <c r="L16" s="67"/>
    </row>
    <row r="17" spans="2:12">
      <c r="B17" s="268" t="s">
        <v>94</v>
      </c>
      <c r="C17" s="268" t="s">
        <v>95</v>
      </c>
      <c r="D17" s="268" t="s">
        <v>91</v>
      </c>
      <c r="E17" s="269" t="s">
        <v>67</v>
      </c>
      <c r="F17" s="117"/>
      <c r="G17" s="125" t="s">
        <v>69</v>
      </c>
      <c r="H17" s="68" t="s">
        <v>96</v>
      </c>
      <c r="I17" s="69" t="s">
        <v>97</v>
      </c>
      <c r="J17" s="72"/>
      <c r="K17" s="264" t="s">
        <v>633</v>
      </c>
      <c r="L17" s="265"/>
    </row>
    <row r="18" spans="2:12">
      <c r="B18" s="268"/>
      <c r="C18" s="268"/>
      <c r="D18" s="268"/>
      <c r="E18" s="269"/>
      <c r="F18" s="117"/>
      <c r="G18" s="125" t="s">
        <v>72</v>
      </c>
      <c r="H18" s="68" t="s">
        <v>98</v>
      </c>
      <c r="I18" s="69" t="s">
        <v>99</v>
      </c>
      <c r="J18" s="72"/>
      <c r="K18" s="264"/>
      <c r="L18" s="265"/>
    </row>
    <row r="19" spans="2:12">
      <c r="B19" s="268" t="s">
        <v>94</v>
      </c>
      <c r="C19" s="268" t="s">
        <v>100</v>
      </c>
      <c r="D19" s="268" t="s">
        <v>91</v>
      </c>
      <c r="E19" s="269" t="s">
        <v>67</v>
      </c>
      <c r="F19" s="117"/>
      <c r="G19" s="125" t="s">
        <v>69</v>
      </c>
      <c r="H19" s="68" t="s">
        <v>101</v>
      </c>
      <c r="I19" s="69" t="s">
        <v>102</v>
      </c>
      <c r="J19" s="72"/>
      <c r="K19" s="264" t="s">
        <v>633</v>
      </c>
      <c r="L19" s="265"/>
    </row>
    <row r="20" spans="2:12" ht="29">
      <c r="B20" s="268"/>
      <c r="C20" s="268"/>
      <c r="D20" s="268"/>
      <c r="E20" s="269"/>
      <c r="F20" s="117"/>
      <c r="G20" s="125" t="s">
        <v>72</v>
      </c>
      <c r="H20" s="68" t="s">
        <v>103</v>
      </c>
      <c r="I20" s="69" t="s">
        <v>104</v>
      </c>
      <c r="J20" s="72"/>
      <c r="K20" s="264"/>
      <c r="L20" s="265"/>
    </row>
    <row r="21" spans="2:12">
      <c r="B21" s="268"/>
      <c r="C21" s="268"/>
      <c r="D21" s="268"/>
      <c r="E21" s="269"/>
      <c r="F21" s="133"/>
      <c r="G21" s="125" t="s">
        <v>84</v>
      </c>
      <c r="H21" s="68" t="s">
        <v>76</v>
      </c>
      <c r="I21" s="135"/>
      <c r="J21" s="72"/>
      <c r="K21" s="264"/>
      <c r="L21" s="265"/>
    </row>
    <row r="22" spans="2:12" ht="15" customHeight="1">
      <c r="B22" s="268" t="s">
        <v>105</v>
      </c>
      <c r="C22" s="268" t="s">
        <v>106</v>
      </c>
      <c r="D22" s="268" t="s">
        <v>91</v>
      </c>
      <c r="E22" s="269" t="s">
        <v>67</v>
      </c>
      <c r="F22" s="117"/>
      <c r="G22" s="125" t="s">
        <v>69</v>
      </c>
      <c r="H22" s="126" t="s">
        <v>107</v>
      </c>
      <c r="I22" s="147" t="s">
        <v>108</v>
      </c>
      <c r="J22" s="72"/>
      <c r="K22" s="264" t="s">
        <v>633</v>
      </c>
      <c r="L22" s="265"/>
    </row>
    <row r="23" spans="2:12">
      <c r="B23" s="268"/>
      <c r="C23" s="268"/>
      <c r="D23" s="268"/>
      <c r="E23" s="269"/>
      <c r="F23" s="117"/>
      <c r="G23" s="125" t="s">
        <v>72</v>
      </c>
      <c r="H23" s="126" t="s">
        <v>109</v>
      </c>
      <c r="I23" s="147" t="s">
        <v>110</v>
      </c>
      <c r="J23" s="72"/>
      <c r="K23" s="264"/>
      <c r="L23" s="265"/>
    </row>
    <row r="24" spans="2:12">
      <c r="B24" s="268"/>
      <c r="C24" s="268"/>
      <c r="D24" s="268"/>
      <c r="E24" s="269"/>
      <c r="F24" s="133"/>
      <c r="G24" s="125" t="s">
        <v>84</v>
      </c>
      <c r="H24" s="126" t="s">
        <v>111</v>
      </c>
      <c r="I24" s="127" t="s">
        <v>112</v>
      </c>
      <c r="J24" s="72"/>
      <c r="K24" s="264"/>
      <c r="L24" s="265"/>
    </row>
    <row r="25" spans="2:12" ht="15" customHeight="1">
      <c r="B25" s="268" t="s">
        <v>113</v>
      </c>
      <c r="C25" s="268" t="s">
        <v>114</v>
      </c>
      <c r="D25" s="268" t="s">
        <v>91</v>
      </c>
      <c r="E25" s="269" t="s">
        <v>67</v>
      </c>
      <c r="F25" s="117"/>
      <c r="G25" s="125" t="s">
        <v>69</v>
      </c>
      <c r="H25" s="126" t="s">
        <v>115</v>
      </c>
      <c r="I25" s="147" t="s">
        <v>116</v>
      </c>
      <c r="J25" s="72"/>
      <c r="K25" s="264" t="s">
        <v>633</v>
      </c>
      <c r="L25" s="265"/>
    </row>
    <row r="26" spans="2:12">
      <c r="B26" s="268"/>
      <c r="C26" s="268"/>
      <c r="D26" s="268"/>
      <c r="E26" s="269"/>
      <c r="F26" s="117"/>
      <c r="G26" s="125" t="s">
        <v>72</v>
      </c>
      <c r="H26" s="126" t="s">
        <v>109</v>
      </c>
      <c r="I26" s="147" t="s">
        <v>110</v>
      </c>
      <c r="J26" s="72"/>
      <c r="K26" s="264"/>
      <c r="L26" s="265"/>
    </row>
    <row r="27" spans="2:12">
      <c r="B27" s="268"/>
      <c r="C27" s="268"/>
      <c r="D27" s="268"/>
      <c r="E27" s="269"/>
      <c r="F27" s="133"/>
      <c r="G27" s="125" t="s">
        <v>84</v>
      </c>
      <c r="H27" s="126" t="s">
        <v>117</v>
      </c>
      <c r="I27" s="127" t="s">
        <v>112</v>
      </c>
      <c r="J27" s="72"/>
      <c r="K27" s="264"/>
      <c r="L27" s="265"/>
    </row>
    <row r="28" spans="2:12">
      <c r="B28" s="268" t="s">
        <v>118</v>
      </c>
      <c r="C28" s="268" t="s">
        <v>119</v>
      </c>
      <c r="D28" s="268" t="s">
        <v>91</v>
      </c>
      <c r="E28" s="269" t="s">
        <v>67</v>
      </c>
      <c r="F28" s="117"/>
      <c r="G28" s="125" t="s">
        <v>69</v>
      </c>
      <c r="H28" s="126" t="s">
        <v>120</v>
      </c>
      <c r="I28" s="147" t="s">
        <v>121</v>
      </c>
      <c r="J28" s="72"/>
      <c r="K28" s="264" t="s">
        <v>633</v>
      </c>
      <c r="L28" s="265"/>
    </row>
    <row r="29" spans="2:12">
      <c r="B29" s="268"/>
      <c r="C29" s="268"/>
      <c r="D29" s="268"/>
      <c r="E29" s="269"/>
      <c r="F29" s="117"/>
      <c r="G29" s="125" t="s">
        <v>72</v>
      </c>
      <c r="H29" s="126" t="s">
        <v>109</v>
      </c>
      <c r="I29" s="147" t="s">
        <v>110</v>
      </c>
      <c r="J29" s="72"/>
      <c r="K29" s="264"/>
      <c r="L29" s="265"/>
    </row>
    <row r="30" spans="2:12">
      <c r="B30" s="268"/>
      <c r="C30" s="268"/>
      <c r="D30" s="268"/>
      <c r="E30" s="269"/>
      <c r="F30" s="133"/>
      <c r="G30" s="125" t="s">
        <v>84</v>
      </c>
      <c r="H30" s="126" t="s">
        <v>117</v>
      </c>
      <c r="I30" s="127" t="s">
        <v>112</v>
      </c>
      <c r="J30" s="72"/>
      <c r="K30" s="264"/>
      <c r="L30" s="265"/>
    </row>
    <row r="31" spans="2:12" ht="15" customHeight="1">
      <c r="B31" s="268" t="s">
        <v>118</v>
      </c>
      <c r="C31" s="268" t="s">
        <v>122</v>
      </c>
      <c r="D31" s="268" t="s">
        <v>91</v>
      </c>
      <c r="E31" s="269" t="s">
        <v>67</v>
      </c>
      <c r="F31" s="117"/>
      <c r="G31" s="125" t="s">
        <v>69</v>
      </c>
      <c r="H31" s="126" t="s">
        <v>120</v>
      </c>
      <c r="I31" s="147" t="s">
        <v>121</v>
      </c>
      <c r="J31" s="72"/>
      <c r="K31" s="264" t="s">
        <v>633</v>
      </c>
      <c r="L31" s="265"/>
    </row>
    <row r="32" spans="2:12">
      <c r="B32" s="268"/>
      <c r="C32" s="268"/>
      <c r="D32" s="268"/>
      <c r="E32" s="269"/>
      <c r="F32" s="117"/>
      <c r="G32" s="125" t="s">
        <v>72</v>
      </c>
      <c r="H32" s="126" t="s">
        <v>109</v>
      </c>
      <c r="I32" s="147" t="s">
        <v>110</v>
      </c>
      <c r="J32" s="72"/>
      <c r="K32" s="264"/>
      <c r="L32" s="265"/>
    </row>
    <row r="33" spans="2:12">
      <c r="B33" s="268"/>
      <c r="C33" s="268"/>
      <c r="D33" s="268"/>
      <c r="E33" s="269"/>
      <c r="F33" s="133"/>
      <c r="G33" s="125" t="s">
        <v>84</v>
      </c>
      <c r="H33" s="126" t="s">
        <v>117</v>
      </c>
      <c r="I33" s="127" t="s">
        <v>112</v>
      </c>
      <c r="J33" s="72"/>
      <c r="K33" s="264"/>
      <c r="L33" s="265"/>
    </row>
    <row r="34" spans="2:12">
      <c r="B34" s="268" t="s">
        <v>118</v>
      </c>
      <c r="C34" s="268" t="s">
        <v>123</v>
      </c>
      <c r="D34" s="268" t="s">
        <v>91</v>
      </c>
      <c r="E34" s="269" t="s">
        <v>67</v>
      </c>
      <c r="F34" s="117"/>
      <c r="G34" s="125" t="s">
        <v>69</v>
      </c>
      <c r="H34" s="126" t="s">
        <v>120</v>
      </c>
      <c r="I34" s="147" t="s">
        <v>121</v>
      </c>
      <c r="J34" s="72"/>
      <c r="K34" s="264" t="s">
        <v>633</v>
      </c>
      <c r="L34" s="265"/>
    </row>
    <row r="35" spans="2:12">
      <c r="B35" s="268"/>
      <c r="C35" s="268"/>
      <c r="D35" s="268"/>
      <c r="E35" s="269"/>
      <c r="F35" s="117"/>
      <c r="G35" s="125" t="s">
        <v>72</v>
      </c>
      <c r="H35" s="126" t="s">
        <v>109</v>
      </c>
      <c r="I35" s="147" t="s">
        <v>110</v>
      </c>
      <c r="J35" s="72"/>
      <c r="K35" s="264"/>
      <c r="L35" s="265"/>
    </row>
    <row r="36" spans="2:12">
      <c r="B36" s="268"/>
      <c r="C36" s="268"/>
      <c r="D36" s="268"/>
      <c r="E36" s="269"/>
      <c r="F36" s="133"/>
      <c r="G36" s="130" t="s">
        <v>84</v>
      </c>
      <c r="H36" s="131" t="s">
        <v>117</v>
      </c>
      <c r="I36" s="132" t="s">
        <v>112</v>
      </c>
      <c r="J36" s="219"/>
      <c r="K36" s="264"/>
      <c r="L36" s="265"/>
    </row>
    <row r="37" spans="2:12">
      <c r="B37" s="268" t="s">
        <v>118</v>
      </c>
      <c r="C37" s="268" t="s">
        <v>124</v>
      </c>
      <c r="D37" s="268" t="s">
        <v>91</v>
      </c>
      <c r="E37" s="269" t="s">
        <v>125</v>
      </c>
      <c r="F37" s="117"/>
      <c r="G37" s="125" t="s">
        <v>69</v>
      </c>
      <c r="H37" s="126" t="s">
        <v>126</v>
      </c>
      <c r="I37" s="147" t="s">
        <v>121</v>
      </c>
      <c r="J37" s="72"/>
      <c r="K37" s="264" t="s">
        <v>633</v>
      </c>
      <c r="L37" s="265"/>
    </row>
    <row r="38" spans="2:12">
      <c r="B38" s="268"/>
      <c r="C38" s="268"/>
      <c r="D38" s="268"/>
      <c r="E38" s="269"/>
      <c r="F38" s="117"/>
      <c r="G38" s="125" t="s">
        <v>72</v>
      </c>
      <c r="H38" s="126" t="s">
        <v>127</v>
      </c>
      <c r="I38" s="147" t="s">
        <v>128</v>
      </c>
      <c r="J38" s="72"/>
      <c r="K38" s="264"/>
      <c r="L38" s="265"/>
    </row>
    <row r="39" spans="2:12">
      <c r="B39" s="268"/>
      <c r="C39" s="268"/>
      <c r="D39" s="268"/>
      <c r="E39" s="269"/>
      <c r="F39" s="133"/>
      <c r="G39" s="130" t="s">
        <v>84</v>
      </c>
      <c r="H39" s="131" t="s">
        <v>129</v>
      </c>
      <c r="I39" s="132" t="s">
        <v>130</v>
      </c>
      <c r="J39" s="219"/>
      <c r="K39" s="264"/>
      <c r="L39" s="265"/>
    </row>
    <row r="40" spans="2:12">
      <c r="B40" s="283"/>
      <c r="C40" s="283" t="s">
        <v>131</v>
      </c>
      <c r="D40" s="283"/>
      <c r="E40" s="266"/>
      <c r="F40" s="140"/>
      <c r="G40" s="97" t="s">
        <v>69</v>
      </c>
      <c r="H40" s="98" t="s">
        <v>132</v>
      </c>
      <c r="I40" s="99"/>
      <c r="J40" s="220"/>
      <c r="K40" s="270" t="s">
        <v>633</v>
      </c>
      <c r="L40" s="272" t="s">
        <v>133</v>
      </c>
    </row>
    <row r="41" spans="2:12">
      <c r="B41" s="284"/>
      <c r="C41" s="284"/>
      <c r="D41" s="284"/>
      <c r="E41" s="267"/>
      <c r="F41" s="140"/>
      <c r="G41" s="97" t="s">
        <v>72</v>
      </c>
      <c r="H41" s="98" t="s">
        <v>134</v>
      </c>
      <c r="I41" s="99"/>
      <c r="J41" s="220"/>
      <c r="K41" s="271"/>
      <c r="L41" s="273"/>
    </row>
    <row r="42" spans="2:12">
      <c r="B42" s="282" t="s">
        <v>69</v>
      </c>
      <c r="C42" s="282"/>
      <c r="D42" s="282"/>
      <c r="E42" s="282"/>
      <c r="F42" s="282"/>
      <c r="G42" s="282"/>
      <c r="H42" s="282"/>
      <c r="I42" s="282"/>
      <c r="J42" s="282"/>
      <c r="K42" s="282"/>
      <c r="L42" s="282"/>
    </row>
    <row r="43" spans="2:12">
      <c r="K43" s="4"/>
    </row>
    <row r="44" spans="2:12">
      <c r="K44" s="4"/>
    </row>
    <row r="45" spans="2:12">
      <c r="K45" s="4"/>
    </row>
    <row r="46" spans="2:12">
      <c r="K46" s="4"/>
    </row>
    <row r="47" spans="2:12">
      <c r="K47" s="4"/>
    </row>
  </sheetData>
  <dataConsolidate/>
  <mergeCells count="73">
    <mergeCell ref="L17:L18"/>
    <mergeCell ref="L19:L21"/>
    <mergeCell ref="B19:B21"/>
    <mergeCell ref="C19:C21"/>
    <mergeCell ref="D19:D21"/>
    <mergeCell ref="E19:E21"/>
    <mergeCell ref="K19:K21"/>
    <mergeCell ref="B17:B18"/>
    <mergeCell ref="K17:K18"/>
    <mergeCell ref="C17:C18"/>
    <mergeCell ref="D17:D18"/>
    <mergeCell ref="E17:E18"/>
    <mergeCell ref="B42:L42"/>
    <mergeCell ref="B31:B33"/>
    <mergeCell ref="C31:C33"/>
    <mergeCell ref="D31:D33"/>
    <mergeCell ref="E31:E33"/>
    <mergeCell ref="K31:K33"/>
    <mergeCell ref="L31:L33"/>
    <mergeCell ref="B34:B36"/>
    <mergeCell ref="C34:C36"/>
    <mergeCell ref="D34:D36"/>
    <mergeCell ref="E34:E36"/>
    <mergeCell ref="K34:K36"/>
    <mergeCell ref="L34:L36"/>
    <mergeCell ref="B40:B41"/>
    <mergeCell ref="C40:C41"/>
    <mergeCell ref="D40:D41"/>
    <mergeCell ref="L22:L24"/>
    <mergeCell ref="B25:B27"/>
    <mergeCell ref="C25:C27"/>
    <mergeCell ref="D25:D27"/>
    <mergeCell ref="E25:E27"/>
    <mergeCell ref="K25:K27"/>
    <mergeCell ref="L25:L27"/>
    <mergeCell ref="B22:B24"/>
    <mergeCell ref="C22:C24"/>
    <mergeCell ref="D22:D24"/>
    <mergeCell ref="E22:E24"/>
    <mergeCell ref="K22:K24"/>
    <mergeCell ref="B2:B3"/>
    <mergeCell ref="G6:H6"/>
    <mergeCell ref="B7:L7"/>
    <mergeCell ref="L8:L10"/>
    <mergeCell ref="L11:L14"/>
    <mergeCell ref="B8:B10"/>
    <mergeCell ref="C8:C10"/>
    <mergeCell ref="D8:D10"/>
    <mergeCell ref="E8:E10"/>
    <mergeCell ref="F8:F10"/>
    <mergeCell ref="B11:B14"/>
    <mergeCell ref="K8:K10"/>
    <mergeCell ref="K11:K14"/>
    <mergeCell ref="B15:L15"/>
    <mergeCell ref="C11:C14"/>
    <mergeCell ref="D11:D14"/>
    <mergeCell ref="E11:E14"/>
    <mergeCell ref="F11:F14"/>
    <mergeCell ref="L28:L30"/>
    <mergeCell ref="B28:B30"/>
    <mergeCell ref="C28:C30"/>
    <mergeCell ref="D28:D30"/>
    <mergeCell ref="E28:E30"/>
    <mergeCell ref="K28:K30"/>
    <mergeCell ref="K37:K39"/>
    <mergeCell ref="L37:L39"/>
    <mergeCell ref="E40:E41"/>
    <mergeCell ref="B37:B39"/>
    <mergeCell ref="C37:C39"/>
    <mergeCell ref="D37:D39"/>
    <mergeCell ref="E37:E39"/>
    <mergeCell ref="K40:K41"/>
    <mergeCell ref="L40:L41"/>
  </mergeCells>
  <phoneticPr fontId="19" type="noConversion"/>
  <conditionalFormatting sqref="K8:K14 K16:K40">
    <cfRule type="cellIs" dxfId="475" priority="1" operator="equal">
      <formula>"Block"</formula>
    </cfRule>
    <cfRule type="cellIs" dxfId="474" priority="2" operator="equal">
      <formula>"."</formula>
    </cfRule>
    <cfRule type="cellIs" dxfId="473" priority="3" operator="equal">
      <formula>1</formula>
    </cfRule>
    <cfRule type="cellIs" dxfId="472" priority="4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DDCE-81B9-4886-89E4-1680DD17A444}">
  <dimension ref="B1:R36"/>
  <sheetViews>
    <sheetView topLeftCell="A10" zoomScale="70" zoomScaleNormal="70" workbookViewId="0">
      <selection activeCell="B30" sqref="B30:L30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6" width="13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6384" width="9.1796875" style="4"/>
  </cols>
  <sheetData>
    <row r="1" spans="2:18">
      <c r="O1" s="5"/>
    </row>
    <row r="2" spans="2:18" ht="21.75" customHeight="1">
      <c r="B2" s="276">
        <f>SUM(O3:O4)/SUM(O6:O6)</f>
        <v>0</v>
      </c>
      <c r="C2" s="47"/>
      <c r="D2" s="47"/>
      <c r="E2" s="47"/>
      <c r="F2" s="47"/>
      <c r="G2" s="60"/>
      <c r="H2" s="24" t="s">
        <v>40</v>
      </c>
      <c r="I2" s="37"/>
      <c r="J2" s="37"/>
      <c r="K2" s="16"/>
      <c r="L2" s="15" t="s">
        <v>135</v>
      </c>
      <c r="N2" s="56" t="s">
        <v>41</v>
      </c>
      <c r="O2" s="55">
        <f>SUM(O3:O5)/O7</f>
        <v>0</v>
      </c>
      <c r="Q2" s="84" t="s">
        <v>42</v>
      </c>
    </row>
    <row r="3" spans="2:18" ht="43.5">
      <c r="B3" s="277"/>
      <c r="C3" s="48"/>
      <c r="D3" s="48"/>
      <c r="E3" s="48"/>
      <c r="F3" s="48"/>
      <c r="G3" s="61"/>
      <c r="H3" s="23" t="s">
        <v>43</v>
      </c>
      <c r="I3" s="38"/>
      <c r="J3" s="38"/>
      <c r="K3" s="12"/>
      <c r="L3" s="13" t="s">
        <v>136</v>
      </c>
      <c r="N3" s="57" t="s">
        <v>44</v>
      </c>
      <c r="O3" s="58">
        <f>COUNTIF(K7:K83,1)</f>
        <v>0</v>
      </c>
      <c r="Q3" s="84" t="s">
        <v>45</v>
      </c>
      <c r="R3" s="85">
        <f>COUNTIF(D8:D82,"Positive")</f>
        <v>9</v>
      </c>
    </row>
    <row r="4" spans="2:18" ht="43.5">
      <c r="B4" s="30" t="s">
        <v>46</v>
      </c>
      <c r="C4" s="49"/>
      <c r="D4" s="49"/>
      <c r="E4" s="49"/>
      <c r="F4" s="49"/>
      <c r="G4" s="62"/>
      <c r="H4" s="23" t="s">
        <v>47</v>
      </c>
      <c r="I4" s="38"/>
      <c r="J4" s="38"/>
      <c r="K4" s="12"/>
      <c r="L4" s="13" t="s">
        <v>137</v>
      </c>
      <c r="M4" s="22"/>
      <c r="N4" s="17" t="s">
        <v>49</v>
      </c>
      <c r="O4" s="18">
        <f>COUNTIF(K7:K83,0)</f>
        <v>0</v>
      </c>
      <c r="P4" s="5"/>
      <c r="Q4" s="84" t="s">
        <v>50</v>
      </c>
      <c r="R4" s="85">
        <f>COUNTIF(D9:D82,"Negative")</f>
        <v>0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COUNTIF(K9:K85,"Block")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138</v>
      </c>
      <c r="N6" s="19" t="s">
        <v>61</v>
      </c>
      <c r="O6" s="20">
        <f>COUNTIF(K7:K83,".")</f>
        <v>8</v>
      </c>
    </row>
    <row r="7" spans="2:18"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N7" s="21" t="s">
        <v>63</v>
      </c>
      <c r="O7" s="21">
        <f>SUM(O3:O6)</f>
        <v>8</v>
      </c>
    </row>
    <row r="8" spans="2:18">
      <c r="B8" s="292" t="s">
        <v>139</v>
      </c>
      <c r="C8" s="292"/>
      <c r="D8" s="292"/>
      <c r="E8" s="292"/>
      <c r="F8" s="292"/>
      <c r="G8" s="292"/>
      <c r="H8" s="292"/>
      <c r="I8" s="292"/>
      <c r="J8" s="292"/>
      <c r="K8" s="293"/>
      <c r="L8" s="293"/>
    </row>
    <row r="9" spans="2:18">
      <c r="B9" s="283" t="s">
        <v>140</v>
      </c>
      <c r="C9" s="283" t="s">
        <v>141</v>
      </c>
      <c r="D9" s="283" t="s">
        <v>66</v>
      </c>
      <c r="E9" s="283"/>
      <c r="F9" s="94"/>
      <c r="G9" s="103">
        <v>1</v>
      </c>
      <c r="H9" s="104" t="s">
        <v>142</v>
      </c>
      <c r="I9" s="104" t="s">
        <v>143</v>
      </c>
      <c r="J9" s="157" t="s">
        <v>143</v>
      </c>
      <c r="K9" s="281" t="s">
        <v>633</v>
      </c>
      <c r="L9" s="285"/>
    </row>
    <row r="10" spans="2:18">
      <c r="B10" s="286"/>
      <c r="C10" s="286"/>
      <c r="D10" s="286"/>
      <c r="E10" s="286"/>
      <c r="F10" s="95"/>
      <c r="G10" s="103">
        <v>2</v>
      </c>
      <c r="H10" s="104" t="s">
        <v>144</v>
      </c>
      <c r="I10" s="104" t="s">
        <v>145</v>
      </c>
      <c r="J10" s="157" t="s">
        <v>146</v>
      </c>
      <c r="K10" s="281"/>
      <c r="L10" s="285"/>
    </row>
    <row r="11" spans="2:18">
      <c r="B11" s="283" t="s">
        <v>147</v>
      </c>
      <c r="C11" s="283" t="s">
        <v>148</v>
      </c>
      <c r="D11" s="283" t="s">
        <v>66</v>
      </c>
      <c r="E11" s="283"/>
      <c r="F11" s="94"/>
      <c r="G11" s="103">
        <v>1</v>
      </c>
      <c r="H11" s="104" t="s">
        <v>142</v>
      </c>
      <c r="I11" s="104" t="s">
        <v>143</v>
      </c>
      <c r="J11" s="157" t="s">
        <v>143</v>
      </c>
      <c r="K11" s="281" t="s">
        <v>633</v>
      </c>
      <c r="L11" s="285"/>
    </row>
    <row r="12" spans="2:18">
      <c r="B12" s="286"/>
      <c r="C12" s="286"/>
      <c r="D12" s="286"/>
      <c r="E12" s="286"/>
      <c r="F12" s="95"/>
      <c r="G12" s="103">
        <v>2</v>
      </c>
      <c r="H12" s="104" t="s">
        <v>149</v>
      </c>
      <c r="I12" s="104" t="s">
        <v>145</v>
      </c>
      <c r="J12" s="157" t="s">
        <v>146</v>
      </c>
      <c r="K12" s="281"/>
      <c r="L12" s="285"/>
    </row>
    <row r="13" spans="2:18">
      <c r="B13" s="283" t="s">
        <v>147</v>
      </c>
      <c r="C13" s="283" t="s">
        <v>150</v>
      </c>
      <c r="D13" s="283" t="s">
        <v>66</v>
      </c>
      <c r="E13" s="283"/>
      <c r="F13" s="94"/>
      <c r="G13" s="103">
        <v>1</v>
      </c>
      <c r="H13" s="104" t="s">
        <v>142</v>
      </c>
      <c r="I13" s="104" t="s">
        <v>143</v>
      </c>
      <c r="J13" s="157" t="s">
        <v>143</v>
      </c>
      <c r="K13" s="281" t="s">
        <v>633</v>
      </c>
      <c r="L13" s="285"/>
    </row>
    <row r="14" spans="2:18">
      <c r="B14" s="286"/>
      <c r="C14" s="286"/>
      <c r="D14" s="286"/>
      <c r="E14" s="286"/>
      <c r="F14" s="95"/>
      <c r="G14" s="103">
        <v>2</v>
      </c>
      <c r="H14" s="104" t="s">
        <v>149</v>
      </c>
      <c r="I14" s="104" t="s">
        <v>145</v>
      </c>
      <c r="J14" s="157" t="s">
        <v>146</v>
      </c>
      <c r="K14" s="281"/>
      <c r="L14" s="285"/>
    </row>
    <row r="15" spans="2:18">
      <c r="B15" s="283" t="s">
        <v>147</v>
      </c>
      <c r="C15" s="283" t="s">
        <v>151</v>
      </c>
      <c r="D15" s="283" t="s">
        <v>66</v>
      </c>
      <c r="E15" s="283"/>
      <c r="F15" s="94"/>
      <c r="G15" s="103">
        <v>1</v>
      </c>
      <c r="H15" s="104" t="s">
        <v>142</v>
      </c>
      <c r="I15" s="104" t="s">
        <v>143</v>
      </c>
      <c r="J15" s="157" t="s">
        <v>143</v>
      </c>
      <c r="K15" s="281" t="s">
        <v>633</v>
      </c>
      <c r="L15" s="285"/>
    </row>
    <row r="16" spans="2:18">
      <c r="B16" s="286"/>
      <c r="C16" s="286"/>
      <c r="D16" s="286"/>
      <c r="E16" s="286"/>
      <c r="F16" s="95"/>
      <c r="G16" s="103">
        <v>2</v>
      </c>
      <c r="H16" s="104" t="s">
        <v>149</v>
      </c>
      <c r="I16" s="104" t="s">
        <v>145</v>
      </c>
      <c r="J16" s="157" t="s">
        <v>146</v>
      </c>
      <c r="K16" s="281"/>
      <c r="L16" s="285"/>
    </row>
    <row r="17" spans="2:12">
      <c r="B17" s="283" t="s">
        <v>152</v>
      </c>
      <c r="C17" s="283" t="s">
        <v>153</v>
      </c>
      <c r="D17" s="283" t="s">
        <v>66</v>
      </c>
      <c r="E17" s="283"/>
      <c r="F17" s="94"/>
      <c r="G17" s="103">
        <v>1</v>
      </c>
      <c r="H17" s="104" t="s">
        <v>142</v>
      </c>
      <c r="I17" s="104" t="s">
        <v>143</v>
      </c>
      <c r="J17" s="173"/>
      <c r="K17" s="281" t="s">
        <v>633</v>
      </c>
      <c r="L17" s="285"/>
    </row>
    <row r="18" spans="2:12">
      <c r="B18" s="286"/>
      <c r="C18" s="286"/>
      <c r="D18" s="286"/>
      <c r="E18" s="286"/>
      <c r="F18" s="95"/>
      <c r="G18" s="103">
        <v>2</v>
      </c>
      <c r="H18" s="104" t="s">
        <v>149</v>
      </c>
      <c r="I18" s="104" t="s">
        <v>145</v>
      </c>
      <c r="J18" s="173"/>
      <c r="K18" s="281"/>
      <c r="L18" s="285"/>
    </row>
    <row r="19" spans="2:12">
      <c r="B19" s="283" t="s">
        <v>154</v>
      </c>
      <c r="C19" s="283" t="s">
        <v>155</v>
      </c>
      <c r="D19" s="283" t="s">
        <v>66</v>
      </c>
      <c r="E19" s="283"/>
      <c r="F19" s="94"/>
      <c r="G19" s="103">
        <v>1</v>
      </c>
      <c r="H19" s="104" t="s">
        <v>142</v>
      </c>
      <c r="I19" s="104" t="s">
        <v>143</v>
      </c>
      <c r="J19" s="173"/>
      <c r="K19" s="281"/>
      <c r="L19" s="285"/>
    </row>
    <row r="20" spans="2:12">
      <c r="B20" s="286"/>
      <c r="C20" s="286"/>
      <c r="D20" s="286"/>
      <c r="E20" s="286"/>
      <c r="F20" s="95"/>
      <c r="G20" s="103">
        <v>2</v>
      </c>
      <c r="H20" s="104" t="s">
        <v>149</v>
      </c>
      <c r="I20" s="104" t="s">
        <v>145</v>
      </c>
      <c r="J20" s="173"/>
      <c r="K20" s="281"/>
      <c r="L20" s="285"/>
    </row>
    <row r="21" spans="2:12">
      <c r="B21" s="286"/>
      <c r="C21" s="286"/>
      <c r="D21" s="286"/>
      <c r="E21" s="286"/>
      <c r="F21" s="95"/>
      <c r="G21" s="103">
        <v>3</v>
      </c>
      <c r="H21" s="104" t="s">
        <v>156</v>
      </c>
      <c r="I21" s="104" t="s">
        <v>157</v>
      </c>
      <c r="J21" s="173"/>
      <c r="K21" s="281"/>
      <c r="L21" s="285"/>
    </row>
    <row r="22" spans="2:12">
      <c r="B22" s="283" t="s">
        <v>154</v>
      </c>
      <c r="C22" s="283" t="s">
        <v>158</v>
      </c>
      <c r="D22" s="283" t="s">
        <v>66</v>
      </c>
      <c r="E22" s="283"/>
      <c r="F22" s="94"/>
      <c r="G22" s="103">
        <v>1</v>
      </c>
      <c r="H22" s="104" t="s">
        <v>142</v>
      </c>
      <c r="I22" s="104" t="s">
        <v>143</v>
      </c>
      <c r="J22" s="173"/>
      <c r="K22" s="281" t="s">
        <v>633</v>
      </c>
      <c r="L22" s="285"/>
    </row>
    <row r="23" spans="2:12">
      <c r="B23" s="286"/>
      <c r="C23" s="286"/>
      <c r="D23" s="286"/>
      <c r="E23" s="286"/>
      <c r="F23" s="95"/>
      <c r="G23" s="103">
        <v>2</v>
      </c>
      <c r="H23" s="104" t="s">
        <v>149</v>
      </c>
      <c r="I23" s="104" t="s">
        <v>145</v>
      </c>
      <c r="J23" s="173"/>
      <c r="K23" s="281"/>
      <c r="L23" s="285"/>
    </row>
    <row r="24" spans="2:12">
      <c r="B24" s="286"/>
      <c r="C24" s="286"/>
      <c r="D24" s="286"/>
      <c r="E24" s="286"/>
      <c r="F24" s="95"/>
      <c r="G24" s="103">
        <v>3</v>
      </c>
      <c r="H24" s="104" t="s">
        <v>156</v>
      </c>
      <c r="I24" s="104" t="s">
        <v>157</v>
      </c>
      <c r="J24" s="173"/>
      <c r="K24" s="281"/>
      <c r="L24" s="285"/>
    </row>
    <row r="25" spans="2:12">
      <c r="B25" s="283" t="s">
        <v>154</v>
      </c>
      <c r="C25" s="283" t="s">
        <v>159</v>
      </c>
      <c r="D25" s="283" t="s">
        <v>66</v>
      </c>
      <c r="E25" s="283"/>
      <c r="F25" s="94" t="s">
        <v>160</v>
      </c>
      <c r="G25" s="103">
        <v>1</v>
      </c>
      <c r="H25" s="104" t="s">
        <v>161</v>
      </c>
      <c r="I25" s="104" t="s">
        <v>143</v>
      </c>
      <c r="J25" s="173"/>
      <c r="K25" s="288" t="s">
        <v>633</v>
      </c>
      <c r="L25" s="287" t="s">
        <v>162</v>
      </c>
    </row>
    <row r="26" spans="2:12">
      <c r="B26" s="286"/>
      <c r="C26" s="286"/>
      <c r="D26" s="286"/>
      <c r="E26" s="286"/>
      <c r="F26" s="95" t="s">
        <v>163</v>
      </c>
      <c r="G26" s="103">
        <v>2</v>
      </c>
      <c r="H26" s="104" t="s">
        <v>164</v>
      </c>
      <c r="I26" s="104" t="s">
        <v>165</v>
      </c>
      <c r="J26" s="173"/>
      <c r="K26" s="289"/>
      <c r="L26" s="285"/>
    </row>
    <row r="27" spans="2:12">
      <c r="B27" s="286"/>
      <c r="C27" s="286"/>
      <c r="D27" s="286"/>
      <c r="E27" s="286"/>
      <c r="F27" s="218" t="s">
        <v>166</v>
      </c>
      <c r="G27" s="215"/>
      <c r="H27" s="216"/>
      <c r="I27" s="217"/>
      <c r="J27" s="173"/>
      <c r="K27" s="290"/>
      <c r="L27" s="285"/>
    </row>
    <row r="28" spans="2:12">
      <c r="B28" s="283" t="s">
        <v>154</v>
      </c>
      <c r="C28" s="283" t="s">
        <v>167</v>
      </c>
      <c r="D28" s="283" t="s">
        <v>66</v>
      </c>
      <c r="E28" s="283"/>
      <c r="F28" s="94" t="s">
        <v>168</v>
      </c>
      <c r="G28" s="103">
        <v>1</v>
      </c>
      <c r="H28" s="104" t="s">
        <v>161</v>
      </c>
      <c r="I28" s="104" t="s">
        <v>143</v>
      </c>
      <c r="J28" s="173"/>
      <c r="K28" s="288" t="s">
        <v>633</v>
      </c>
      <c r="L28" s="287" t="s">
        <v>169</v>
      </c>
    </row>
    <row r="29" spans="2:12" ht="111.65" customHeight="1">
      <c r="B29" s="286"/>
      <c r="C29" s="286"/>
      <c r="D29" s="286"/>
      <c r="E29" s="286"/>
      <c r="F29" s="95" t="s">
        <v>170</v>
      </c>
      <c r="G29" s="103">
        <v>2</v>
      </c>
      <c r="H29" s="104" t="s">
        <v>164</v>
      </c>
      <c r="I29" s="104" t="s">
        <v>171</v>
      </c>
      <c r="J29" s="173"/>
      <c r="K29" s="290"/>
      <c r="L29" s="285"/>
    </row>
    <row r="30" spans="2:12">
      <c r="B30" s="295" t="s">
        <v>172</v>
      </c>
      <c r="C30" s="295"/>
      <c r="D30" s="295"/>
      <c r="E30" s="295"/>
      <c r="F30" s="295"/>
      <c r="G30" s="295"/>
      <c r="H30" s="295"/>
      <c r="I30" s="295"/>
      <c r="J30" s="295"/>
      <c r="K30" s="296"/>
      <c r="L30" s="296"/>
    </row>
    <row r="31" spans="2:12"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</row>
    <row r="32" spans="2:12">
      <c r="K32" s="4"/>
    </row>
    <row r="33" spans="11:11">
      <c r="K33" s="4"/>
    </row>
    <row r="34" spans="11:11">
      <c r="K34" s="4"/>
    </row>
    <row r="35" spans="11:11">
      <c r="K35" s="4"/>
    </row>
    <row r="36" spans="11:11">
      <c r="K36" s="4"/>
    </row>
  </sheetData>
  <dataConsolidate/>
  <mergeCells count="60">
    <mergeCell ref="D28:D29"/>
    <mergeCell ref="E28:E29"/>
    <mergeCell ref="L28:L29"/>
    <mergeCell ref="B31:L31"/>
    <mergeCell ref="B28:B29"/>
    <mergeCell ref="C28:C29"/>
    <mergeCell ref="B30:L30"/>
    <mergeCell ref="K28:K29"/>
    <mergeCell ref="D17:D18"/>
    <mergeCell ref="D19:D21"/>
    <mergeCell ref="E9:E10"/>
    <mergeCell ref="E11:E12"/>
    <mergeCell ref="E17:E18"/>
    <mergeCell ref="E19:E21"/>
    <mergeCell ref="B15:B16"/>
    <mergeCell ref="C15:C16"/>
    <mergeCell ref="D15:D16"/>
    <mergeCell ref="E15:E16"/>
    <mergeCell ref="K15:K16"/>
    <mergeCell ref="B19:B21"/>
    <mergeCell ref="C19:C21"/>
    <mergeCell ref="K19:K21"/>
    <mergeCell ref="L19:L21"/>
    <mergeCell ref="B11:B12"/>
    <mergeCell ref="C11:C12"/>
    <mergeCell ref="K11:K12"/>
    <mergeCell ref="L17:L18"/>
    <mergeCell ref="L11:L12"/>
    <mergeCell ref="B17:B18"/>
    <mergeCell ref="C17:C18"/>
    <mergeCell ref="L15:L16"/>
    <mergeCell ref="K17:K18"/>
    <mergeCell ref="B13:B14"/>
    <mergeCell ref="C13:C14"/>
    <mergeCell ref="D13:D14"/>
    <mergeCell ref="B2:B3"/>
    <mergeCell ref="G6:H6"/>
    <mergeCell ref="B7:L7"/>
    <mergeCell ref="B8:L8"/>
    <mergeCell ref="L13:L14"/>
    <mergeCell ref="D9:D10"/>
    <mergeCell ref="D11:D12"/>
    <mergeCell ref="B9:B10"/>
    <mergeCell ref="C9:C10"/>
    <mergeCell ref="K9:K10"/>
    <mergeCell ref="L9:L10"/>
    <mergeCell ref="E13:E14"/>
    <mergeCell ref="K13:K14"/>
    <mergeCell ref="L22:L24"/>
    <mergeCell ref="B25:B27"/>
    <mergeCell ref="C25:C27"/>
    <mergeCell ref="D25:D27"/>
    <mergeCell ref="E25:E27"/>
    <mergeCell ref="L25:L27"/>
    <mergeCell ref="B22:B24"/>
    <mergeCell ref="C22:C24"/>
    <mergeCell ref="D22:D24"/>
    <mergeCell ref="E22:E24"/>
    <mergeCell ref="K22:K24"/>
    <mergeCell ref="K25:K27"/>
  </mergeCells>
  <phoneticPr fontId="19" type="noConversion"/>
  <conditionalFormatting sqref="K9">
    <cfRule type="cellIs" dxfId="471" priority="25" operator="equal">
      <formula>"."</formula>
    </cfRule>
    <cfRule type="cellIs" dxfId="470" priority="26" operator="equal">
      <formula>1</formula>
    </cfRule>
    <cfRule type="cellIs" dxfId="469" priority="27" operator="equal">
      <formula>0</formula>
    </cfRule>
  </conditionalFormatting>
  <conditionalFormatting sqref="K11">
    <cfRule type="cellIs" dxfId="468" priority="28" operator="equal">
      <formula>"."</formula>
    </cfRule>
    <cfRule type="cellIs" dxfId="467" priority="29" operator="equal">
      <formula>1</formula>
    </cfRule>
    <cfRule type="cellIs" dxfId="466" priority="30" operator="equal">
      <formula>0</formula>
    </cfRule>
  </conditionalFormatting>
  <conditionalFormatting sqref="K13">
    <cfRule type="cellIs" dxfId="465" priority="7" operator="equal">
      <formula>"."</formula>
    </cfRule>
    <cfRule type="cellIs" dxfId="464" priority="8" operator="equal">
      <formula>1</formula>
    </cfRule>
    <cfRule type="cellIs" dxfId="463" priority="9" operator="equal">
      <formula>0</formula>
    </cfRule>
  </conditionalFormatting>
  <conditionalFormatting sqref="K15">
    <cfRule type="cellIs" dxfId="462" priority="4" operator="equal">
      <formula>"."</formula>
    </cfRule>
    <cfRule type="cellIs" dxfId="461" priority="5" operator="equal">
      <formula>1</formula>
    </cfRule>
    <cfRule type="cellIs" dxfId="460" priority="6" operator="equal">
      <formula>0</formula>
    </cfRule>
  </conditionalFormatting>
  <conditionalFormatting sqref="K17">
    <cfRule type="cellIs" dxfId="459" priority="22" operator="equal">
      <formula>"."</formula>
    </cfRule>
    <cfRule type="cellIs" dxfId="458" priority="23" operator="equal">
      <formula>1</formula>
    </cfRule>
    <cfRule type="cellIs" dxfId="457" priority="24" operator="equal">
      <formula>0</formula>
    </cfRule>
  </conditionalFormatting>
  <conditionalFormatting sqref="K19:K20">
    <cfRule type="cellIs" dxfId="456" priority="13" operator="equal">
      <formula>"."</formula>
    </cfRule>
    <cfRule type="cellIs" dxfId="455" priority="14" operator="equal">
      <formula>1</formula>
    </cfRule>
    <cfRule type="cellIs" dxfId="454" priority="15" operator="equal">
      <formula>0</formula>
    </cfRule>
  </conditionalFormatting>
  <conditionalFormatting sqref="K22:K23">
    <cfRule type="cellIs" dxfId="453" priority="1" operator="equal">
      <formula>"."</formula>
    </cfRule>
    <cfRule type="cellIs" dxfId="452" priority="2" operator="equal">
      <formula>1</formula>
    </cfRule>
    <cfRule type="cellIs" dxfId="451" priority="3" operator="equal">
      <formula>0</formula>
    </cfRule>
  </conditionalFormatting>
  <conditionalFormatting sqref="K25 K28">
    <cfRule type="cellIs" dxfId="450" priority="10" operator="equal">
      <formula>"."</formula>
    </cfRule>
    <cfRule type="cellIs" dxfId="449" priority="11" operator="equal">
      <formula>1</formula>
    </cfRule>
    <cfRule type="cellIs" dxfId="448" priority="12" operator="equal">
      <formula>0</formula>
    </cfRule>
  </conditionalFormatting>
  <conditionalFormatting sqref="K30">
    <cfRule type="cellIs" dxfId="447" priority="19" operator="equal">
      <formula>"."</formula>
    </cfRule>
    <cfRule type="cellIs" dxfId="446" priority="20" operator="equal">
      <formula>1</formula>
    </cfRule>
    <cfRule type="cellIs" dxfId="445" priority="21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2C7F-2591-444E-BDD3-C691DF6461A8}">
  <dimension ref="B1:R74"/>
  <sheetViews>
    <sheetView topLeftCell="A54" zoomScale="70" zoomScaleNormal="70" workbookViewId="0">
      <selection activeCell="J72" sqref="J72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6" width="13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6384" width="9.1796875" style="4"/>
  </cols>
  <sheetData>
    <row r="1" spans="2:18">
      <c r="O1" s="5"/>
    </row>
    <row r="2" spans="2:18" ht="21.75" customHeight="1">
      <c r="B2" s="276">
        <f>SUM(O3:O4)/SUM(O6:O6)</f>
        <v>0</v>
      </c>
      <c r="C2" s="47"/>
      <c r="D2" s="47"/>
      <c r="E2" s="47"/>
      <c r="F2" s="47"/>
      <c r="G2" s="60"/>
      <c r="H2" s="24" t="s">
        <v>40</v>
      </c>
      <c r="I2" s="37"/>
      <c r="J2" s="37"/>
      <c r="K2" s="16"/>
      <c r="L2" s="15" t="s">
        <v>135</v>
      </c>
      <c r="N2" s="56" t="s">
        <v>41</v>
      </c>
      <c r="O2" s="55">
        <f>SUM(O3:O5)/O7</f>
        <v>0</v>
      </c>
      <c r="Q2" s="84" t="s">
        <v>42</v>
      </c>
    </row>
    <row r="3" spans="2:18" ht="43.5">
      <c r="B3" s="277"/>
      <c r="C3" s="48"/>
      <c r="D3" s="48"/>
      <c r="E3" s="48"/>
      <c r="F3" s="48"/>
      <c r="G3" s="61"/>
      <c r="H3" s="23" t="s">
        <v>43</v>
      </c>
      <c r="I3" s="38"/>
      <c r="J3" s="38"/>
      <c r="K3" s="12"/>
      <c r="L3" s="13" t="s">
        <v>136</v>
      </c>
      <c r="N3" s="57" t="s">
        <v>44</v>
      </c>
      <c r="O3" s="58">
        <f>COUNTIF(K7:K121,1)</f>
        <v>0</v>
      </c>
      <c r="Q3" s="84" t="s">
        <v>45</v>
      </c>
      <c r="R3" s="85">
        <f>COUNTIF(D8:D120,"Positive")</f>
        <v>18</v>
      </c>
    </row>
    <row r="4" spans="2:18" ht="43.5">
      <c r="B4" s="30" t="s">
        <v>46</v>
      </c>
      <c r="C4" s="49"/>
      <c r="D4" s="49"/>
      <c r="E4" s="49"/>
      <c r="F4" s="49"/>
      <c r="G4" s="62"/>
      <c r="H4" s="23" t="s">
        <v>47</v>
      </c>
      <c r="I4" s="38"/>
      <c r="J4" s="38"/>
      <c r="K4" s="12"/>
      <c r="L4" s="13" t="s">
        <v>137</v>
      </c>
      <c r="M4" s="22"/>
      <c r="N4" s="17" t="s">
        <v>49</v>
      </c>
      <c r="O4" s="18">
        <f>COUNTIF(K7:K121,0)</f>
        <v>0</v>
      </c>
      <c r="P4" s="5"/>
      <c r="Q4" s="84" t="s">
        <v>50</v>
      </c>
      <c r="R4" s="85">
        <f>COUNTIF(D9:D120,"Negative")</f>
        <v>4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COUNTIF(K9:K123,"Block")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138</v>
      </c>
      <c r="N6" s="19" t="s">
        <v>61</v>
      </c>
      <c r="O6" s="20">
        <f>COUNTIF(K7:K121,".")</f>
        <v>22</v>
      </c>
    </row>
    <row r="7" spans="2:18"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N7" s="21" t="s">
        <v>63</v>
      </c>
      <c r="O7" s="21">
        <f>SUM(O3:O6)</f>
        <v>22</v>
      </c>
    </row>
    <row r="8" spans="2:18">
      <c r="B8" s="293" t="s">
        <v>173</v>
      </c>
      <c r="C8" s="293"/>
      <c r="D8" s="293"/>
      <c r="E8" s="293"/>
      <c r="F8" s="293"/>
      <c r="G8" s="293"/>
      <c r="H8" s="293"/>
      <c r="I8" s="293"/>
      <c r="J8" s="293"/>
      <c r="K8" s="293"/>
      <c r="L8" s="293"/>
    </row>
    <row r="9" spans="2:18">
      <c r="B9" s="268" t="s">
        <v>174</v>
      </c>
      <c r="C9" s="268" t="s">
        <v>175</v>
      </c>
      <c r="D9" s="268" t="s">
        <v>66</v>
      </c>
      <c r="E9" s="268"/>
      <c r="F9" s="133"/>
      <c r="G9" s="167">
        <v>1</v>
      </c>
      <c r="H9" s="148" t="s">
        <v>176</v>
      </c>
      <c r="I9" s="148" t="s">
        <v>177</v>
      </c>
      <c r="J9" s="156"/>
      <c r="K9" s="281" t="s">
        <v>633</v>
      </c>
      <c r="L9" s="285"/>
    </row>
    <row r="10" spans="2:18">
      <c r="B10" s="268"/>
      <c r="C10" s="268"/>
      <c r="D10" s="268"/>
      <c r="E10" s="268"/>
      <c r="F10" s="133"/>
      <c r="G10" s="167">
        <v>2</v>
      </c>
      <c r="H10" s="148" t="s">
        <v>178</v>
      </c>
      <c r="I10" s="148" t="s">
        <v>179</v>
      </c>
      <c r="J10" s="156"/>
      <c r="K10" s="281"/>
      <c r="L10" s="285"/>
    </row>
    <row r="11" spans="2:18">
      <c r="B11" s="268"/>
      <c r="C11" s="268"/>
      <c r="D11" s="268"/>
      <c r="E11" s="268"/>
      <c r="F11" s="133"/>
      <c r="G11" s="167">
        <v>3</v>
      </c>
      <c r="H11" s="148" t="s">
        <v>180</v>
      </c>
      <c r="I11" s="148" t="s">
        <v>181</v>
      </c>
      <c r="J11" s="156"/>
      <c r="K11" s="281"/>
      <c r="L11" s="285"/>
    </row>
    <row r="12" spans="2:18">
      <c r="B12" s="268" t="s">
        <v>182</v>
      </c>
      <c r="C12" s="268" t="s">
        <v>183</v>
      </c>
      <c r="D12" s="268" t="s">
        <v>66</v>
      </c>
      <c r="E12" s="268"/>
      <c r="F12" s="133"/>
      <c r="G12" s="167">
        <v>1</v>
      </c>
      <c r="H12" s="148" t="s">
        <v>184</v>
      </c>
      <c r="I12" s="148" t="s">
        <v>143</v>
      </c>
      <c r="J12" s="148"/>
      <c r="K12" s="281" t="s">
        <v>633</v>
      </c>
      <c r="L12" s="285"/>
    </row>
    <row r="13" spans="2:18">
      <c r="B13" s="268"/>
      <c r="C13" s="268"/>
      <c r="D13" s="268"/>
      <c r="E13" s="268"/>
      <c r="F13" s="133"/>
      <c r="G13" s="167">
        <v>2</v>
      </c>
      <c r="H13" s="148" t="s">
        <v>178</v>
      </c>
      <c r="I13" s="148" t="s">
        <v>146</v>
      </c>
      <c r="J13" s="148"/>
      <c r="K13" s="281"/>
      <c r="L13" s="285"/>
    </row>
    <row r="14" spans="2:18">
      <c r="B14" s="268"/>
      <c r="C14" s="268"/>
      <c r="D14" s="268"/>
      <c r="E14" s="268"/>
      <c r="F14" s="133"/>
      <c r="G14" s="167">
        <v>3</v>
      </c>
      <c r="H14" s="148" t="s">
        <v>185</v>
      </c>
      <c r="I14" s="148" t="s">
        <v>186</v>
      </c>
      <c r="J14" s="148"/>
      <c r="K14" s="281"/>
      <c r="L14" s="285"/>
    </row>
    <row r="15" spans="2:18">
      <c r="B15" s="268" t="s">
        <v>187</v>
      </c>
      <c r="C15" s="268" t="s">
        <v>188</v>
      </c>
      <c r="D15" s="268" t="s">
        <v>66</v>
      </c>
      <c r="E15" s="268"/>
      <c r="F15" s="133"/>
      <c r="G15" s="167">
        <v>1</v>
      </c>
      <c r="H15" s="148" t="s">
        <v>189</v>
      </c>
      <c r="I15" s="148" t="s">
        <v>143</v>
      </c>
      <c r="J15" s="148"/>
      <c r="K15" s="281" t="s">
        <v>633</v>
      </c>
      <c r="L15" s="285"/>
    </row>
    <row r="16" spans="2:18">
      <c r="B16" s="268"/>
      <c r="C16" s="268"/>
      <c r="D16" s="268"/>
      <c r="E16" s="268"/>
      <c r="F16" s="133"/>
      <c r="G16" s="167">
        <v>2</v>
      </c>
      <c r="H16" s="148" t="s">
        <v>178</v>
      </c>
      <c r="I16" s="148" t="s">
        <v>146</v>
      </c>
      <c r="J16" s="148"/>
      <c r="K16" s="281"/>
      <c r="L16" s="285"/>
    </row>
    <row r="17" spans="2:12">
      <c r="B17" s="268"/>
      <c r="C17" s="268"/>
      <c r="D17" s="268"/>
      <c r="E17" s="268"/>
      <c r="F17" s="133"/>
      <c r="G17" s="167">
        <v>3</v>
      </c>
      <c r="H17" s="148" t="s">
        <v>190</v>
      </c>
      <c r="I17" s="148" t="s">
        <v>191</v>
      </c>
      <c r="J17" s="148"/>
      <c r="K17" s="281"/>
      <c r="L17" s="285"/>
    </row>
    <row r="18" spans="2:12">
      <c r="B18" s="268" t="s">
        <v>192</v>
      </c>
      <c r="C18" s="268" t="s">
        <v>193</v>
      </c>
      <c r="D18" s="268" t="s">
        <v>66</v>
      </c>
      <c r="E18" s="268"/>
      <c r="F18" s="133"/>
      <c r="G18" s="167">
        <v>1</v>
      </c>
      <c r="H18" s="148" t="s">
        <v>194</v>
      </c>
      <c r="I18" s="148" t="s">
        <v>177</v>
      </c>
      <c r="J18" s="156"/>
      <c r="K18" s="281" t="s">
        <v>633</v>
      </c>
      <c r="L18" s="285"/>
    </row>
    <row r="19" spans="2:12">
      <c r="B19" s="268"/>
      <c r="C19" s="268"/>
      <c r="D19" s="268"/>
      <c r="E19" s="268"/>
      <c r="F19" s="133"/>
      <c r="G19" s="167">
        <v>2</v>
      </c>
      <c r="H19" s="148" t="s">
        <v>178</v>
      </c>
      <c r="I19" s="148" t="s">
        <v>179</v>
      </c>
      <c r="J19" s="156"/>
      <c r="K19" s="281"/>
      <c r="L19" s="285"/>
    </row>
    <row r="20" spans="2:12" ht="29">
      <c r="B20" s="268"/>
      <c r="C20" s="268"/>
      <c r="D20" s="268"/>
      <c r="E20" s="268"/>
      <c r="F20" s="133"/>
      <c r="G20" s="167">
        <v>3</v>
      </c>
      <c r="H20" s="148" t="s">
        <v>195</v>
      </c>
      <c r="I20" s="148" t="s">
        <v>196</v>
      </c>
      <c r="J20" s="156"/>
      <c r="K20" s="281"/>
      <c r="L20" s="285"/>
    </row>
    <row r="21" spans="2:12">
      <c r="B21" s="268" t="s">
        <v>192</v>
      </c>
      <c r="C21" s="268" t="s">
        <v>197</v>
      </c>
      <c r="D21" s="268" t="s">
        <v>66</v>
      </c>
      <c r="E21" s="268"/>
      <c r="F21" s="133"/>
      <c r="G21" s="167">
        <v>1</v>
      </c>
      <c r="H21" s="148" t="s">
        <v>198</v>
      </c>
      <c r="I21" s="148" t="s">
        <v>177</v>
      </c>
      <c r="J21" s="156"/>
      <c r="K21" s="281" t="s">
        <v>633</v>
      </c>
      <c r="L21" s="285"/>
    </row>
    <row r="22" spans="2:12">
      <c r="B22" s="268"/>
      <c r="C22" s="268"/>
      <c r="D22" s="268"/>
      <c r="E22" s="268"/>
      <c r="F22" s="133"/>
      <c r="G22" s="167">
        <v>2</v>
      </c>
      <c r="H22" s="148" t="s">
        <v>178</v>
      </c>
      <c r="I22" s="148" t="s">
        <v>179</v>
      </c>
      <c r="J22" s="156"/>
      <c r="K22" s="281"/>
      <c r="L22" s="285"/>
    </row>
    <row r="23" spans="2:12">
      <c r="B23" s="268"/>
      <c r="C23" s="268"/>
      <c r="D23" s="268"/>
      <c r="E23" s="268"/>
      <c r="F23" s="133"/>
      <c r="G23" s="167">
        <v>3</v>
      </c>
      <c r="H23" s="148" t="s">
        <v>199</v>
      </c>
      <c r="I23" s="148" t="s">
        <v>200</v>
      </c>
      <c r="J23" s="156"/>
      <c r="K23" s="288"/>
      <c r="L23" s="302"/>
    </row>
    <row r="24" spans="2:12">
      <c r="B24" s="268" t="s">
        <v>201</v>
      </c>
      <c r="C24" s="268" t="s">
        <v>202</v>
      </c>
      <c r="D24" s="268" t="s">
        <v>66</v>
      </c>
      <c r="E24" s="268"/>
      <c r="F24" s="133"/>
      <c r="G24" s="167">
        <v>1</v>
      </c>
      <c r="H24" s="148" t="s">
        <v>203</v>
      </c>
      <c r="I24" s="148" t="s">
        <v>177</v>
      </c>
      <c r="J24" s="193"/>
      <c r="K24" s="281" t="s">
        <v>633</v>
      </c>
      <c r="L24" s="285"/>
    </row>
    <row r="25" spans="2:12">
      <c r="B25" s="268"/>
      <c r="C25" s="268"/>
      <c r="D25" s="268"/>
      <c r="E25" s="268"/>
      <c r="F25" s="133"/>
      <c r="G25" s="167">
        <v>2</v>
      </c>
      <c r="H25" s="148" t="s">
        <v>178</v>
      </c>
      <c r="I25" s="148" t="s">
        <v>179</v>
      </c>
      <c r="J25" s="193"/>
      <c r="K25" s="281"/>
      <c r="L25" s="285"/>
    </row>
    <row r="26" spans="2:12">
      <c r="B26" s="268"/>
      <c r="C26" s="268"/>
      <c r="D26" s="268"/>
      <c r="E26" s="268"/>
      <c r="F26" s="133"/>
      <c r="G26" s="167">
        <v>3</v>
      </c>
      <c r="H26" s="148" t="s">
        <v>204</v>
      </c>
      <c r="I26" s="148" t="s">
        <v>200</v>
      </c>
      <c r="J26" s="193"/>
      <c r="K26" s="281"/>
      <c r="L26" s="285"/>
    </row>
    <row r="27" spans="2:12">
      <c r="B27" s="268" t="s">
        <v>174</v>
      </c>
      <c r="C27" s="268" t="s">
        <v>205</v>
      </c>
      <c r="D27" s="268" t="s">
        <v>66</v>
      </c>
      <c r="E27" s="268"/>
      <c r="F27" s="133"/>
      <c r="G27" s="167">
        <v>1</v>
      </c>
      <c r="H27" s="148" t="s">
        <v>206</v>
      </c>
      <c r="I27" s="148" t="s">
        <v>177</v>
      </c>
      <c r="J27" s="193"/>
      <c r="K27" s="281" t="s">
        <v>633</v>
      </c>
      <c r="L27" s="285"/>
    </row>
    <row r="28" spans="2:12">
      <c r="B28" s="268"/>
      <c r="C28" s="268"/>
      <c r="D28" s="268"/>
      <c r="E28" s="268"/>
      <c r="F28" s="133"/>
      <c r="G28" s="167">
        <v>2</v>
      </c>
      <c r="H28" s="148" t="s">
        <v>178</v>
      </c>
      <c r="I28" s="148" t="s">
        <v>179</v>
      </c>
      <c r="J28" s="193"/>
      <c r="K28" s="281"/>
      <c r="L28" s="285"/>
    </row>
    <row r="29" spans="2:12" ht="29">
      <c r="B29" s="268"/>
      <c r="C29" s="268"/>
      <c r="D29" s="268"/>
      <c r="E29" s="268"/>
      <c r="F29" s="133"/>
      <c r="G29" s="167">
        <v>3</v>
      </c>
      <c r="H29" s="148" t="s">
        <v>207</v>
      </c>
      <c r="I29" s="148" t="s">
        <v>208</v>
      </c>
      <c r="J29" s="193"/>
      <c r="K29" s="281"/>
      <c r="L29" s="285"/>
    </row>
    <row r="30" spans="2:12">
      <c r="B30" s="268" t="s">
        <v>182</v>
      </c>
      <c r="C30" s="268" t="s">
        <v>209</v>
      </c>
      <c r="D30" s="268" t="s">
        <v>66</v>
      </c>
      <c r="E30" s="268"/>
      <c r="F30" s="133"/>
      <c r="G30" s="167">
        <v>1</v>
      </c>
      <c r="H30" s="148" t="s">
        <v>210</v>
      </c>
      <c r="I30" s="148" t="s">
        <v>177</v>
      </c>
      <c r="J30" s="159"/>
      <c r="K30" s="281" t="s">
        <v>633</v>
      </c>
      <c r="L30" s="285"/>
    </row>
    <row r="31" spans="2:12">
      <c r="B31" s="268"/>
      <c r="C31" s="268"/>
      <c r="D31" s="268"/>
      <c r="E31" s="268"/>
      <c r="F31" s="133"/>
      <c r="G31" s="167">
        <v>2</v>
      </c>
      <c r="H31" s="148" t="s">
        <v>178</v>
      </c>
      <c r="I31" s="148" t="s">
        <v>179</v>
      </c>
      <c r="J31" s="159"/>
      <c r="K31" s="281"/>
      <c r="L31" s="285"/>
    </row>
    <row r="32" spans="2:12" ht="15" customHeight="1">
      <c r="B32" s="268"/>
      <c r="C32" s="268"/>
      <c r="D32" s="268"/>
      <c r="E32" s="268"/>
      <c r="F32" s="133"/>
      <c r="G32" s="167">
        <v>3</v>
      </c>
      <c r="H32" s="148" t="s">
        <v>211</v>
      </c>
      <c r="I32" s="148" t="s">
        <v>200</v>
      </c>
      <c r="J32" s="159"/>
      <c r="K32" s="281"/>
      <c r="L32" s="285"/>
    </row>
    <row r="33" spans="2:12">
      <c r="B33" s="268" t="s">
        <v>187</v>
      </c>
      <c r="C33" s="268" t="s">
        <v>212</v>
      </c>
      <c r="D33" s="268" t="s">
        <v>66</v>
      </c>
      <c r="E33" s="268"/>
      <c r="F33" s="133"/>
      <c r="G33" s="167">
        <v>1</v>
      </c>
      <c r="H33" s="148" t="s">
        <v>213</v>
      </c>
      <c r="I33" s="148" t="s">
        <v>177</v>
      </c>
      <c r="J33" s="148"/>
      <c r="K33" s="290" t="s">
        <v>633</v>
      </c>
      <c r="L33" s="304"/>
    </row>
    <row r="34" spans="2:12">
      <c r="B34" s="268"/>
      <c r="C34" s="268"/>
      <c r="D34" s="268"/>
      <c r="E34" s="268"/>
      <c r="F34" s="133"/>
      <c r="G34" s="167">
        <v>2</v>
      </c>
      <c r="H34" s="148" t="s">
        <v>178</v>
      </c>
      <c r="I34" s="148" t="s">
        <v>179</v>
      </c>
      <c r="J34" s="148"/>
      <c r="K34" s="281"/>
      <c r="L34" s="285"/>
    </row>
    <row r="35" spans="2:12">
      <c r="B35" s="268"/>
      <c r="C35" s="268"/>
      <c r="D35" s="268"/>
      <c r="E35" s="268"/>
      <c r="F35" s="133"/>
      <c r="G35" s="167">
        <v>3</v>
      </c>
      <c r="H35" s="148" t="s">
        <v>214</v>
      </c>
      <c r="I35" s="148" t="s">
        <v>200</v>
      </c>
      <c r="J35" s="148"/>
      <c r="K35" s="281"/>
      <c r="L35" s="285"/>
    </row>
    <row r="36" spans="2:12">
      <c r="B36" s="268" t="s">
        <v>174</v>
      </c>
      <c r="C36" s="268" t="s">
        <v>215</v>
      </c>
      <c r="D36" s="268" t="s">
        <v>66</v>
      </c>
      <c r="E36" s="268"/>
      <c r="F36" s="133"/>
      <c r="G36" s="167">
        <v>1</v>
      </c>
      <c r="H36" s="148" t="s">
        <v>216</v>
      </c>
      <c r="I36" s="148" t="s">
        <v>177</v>
      </c>
      <c r="J36" s="156"/>
      <c r="K36" s="281" t="s">
        <v>633</v>
      </c>
      <c r="L36" s="285"/>
    </row>
    <row r="37" spans="2:12">
      <c r="B37" s="268"/>
      <c r="C37" s="268"/>
      <c r="D37" s="268"/>
      <c r="E37" s="268"/>
      <c r="F37" s="133"/>
      <c r="G37" s="167">
        <v>2</v>
      </c>
      <c r="H37" s="148" t="s">
        <v>178</v>
      </c>
      <c r="I37" s="148" t="s">
        <v>179</v>
      </c>
      <c r="J37" s="156"/>
      <c r="K37" s="281"/>
      <c r="L37" s="285"/>
    </row>
    <row r="38" spans="2:12" ht="29">
      <c r="B38" s="268"/>
      <c r="C38" s="268"/>
      <c r="D38" s="268"/>
      <c r="E38" s="268"/>
      <c r="F38" s="133"/>
      <c r="G38" s="167">
        <v>3</v>
      </c>
      <c r="H38" s="148" t="s">
        <v>217</v>
      </c>
      <c r="I38" s="148" t="s">
        <v>218</v>
      </c>
      <c r="J38" s="156"/>
      <c r="K38" s="281"/>
      <c r="L38" s="285"/>
    </row>
    <row r="39" spans="2:12">
      <c r="B39" s="268" t="s">
        <v>182</v>
      </c>
      <c r="C39" s="268" t="s">
        <v>219</v>
      </c>
      <c r="D39" s="268" t="s">
        <v>66</v>
      </c>
      <c r="E39" s="268"/>
      <c r="F39" s="133"/>
      <c r="G39" s="167">
        <v>1</v>
      </c>
      <c r="H39" s="148" t="s">
        <v>220</v>
      </c>
      <c r="I39" s="148" t="s">
        <v>177</v>
      </c>
      <c r="J39" s="148"/>
      <c r="K39" s="281" t="s">
        <v>633</v>
      </c>
      <c r="L39" s="285"/>
    </row>
    <row r="40" spans="2:12">
      <c r="B40" s="268"/>
      <c r="C40" s="268"/>
      <c r="D40" s="268"/>
      <c r="E40" s="268"/>
      <c r="F40" s="133"/>
      <c r="G40" s="167">
        <v>2</v>
      </c>
      <c r="H40" s="148" t="s">
        <v>178</v>
      </c>
      <c r="I40" s="148" t="s">
        <v>179</v>
      </c>
      <c r="J40" s="148"/>
      <c r="K40" s="281"/>
      <c r="L40" s="285"/>
    </row>
    <row r="41" spans="2:12">
      <c r="B41" s="268"/>
      <c r="C41" s="268"/>
      <c r="D41" s="268"/>
      <c r="E41" s="268"/>
      <c r="F41" s="133"/>
      <c r="G41" s="167">
        <v>3</v>
      </c>
      <c r="H41" s="148" t="s">
        <v>221</v>
      </c>
      <c r="I41" s="148" t="s">
        <v>200</v>
      </c>
      <c r="J41" s="148"/>
      <c r="K41" s="281"/>
      <c r="L41" s="285"/>
    </row>
    <row r="42" spans="2:12">
      <c r="B42" s="268" t="s">
        <v>187</v>
      </c>
      <c r="C42" s="268" t="s">
        <v>222</v>
      </c>
      <c r="D42" s="268" t="s">
        <v>66</v>
      </c>
      <c r="E42" s="268"/>
      <c r="F42" s="133"/>
      <c r="G42" s="167">
        <v>1</v>
      </c>
      <c r="H42" s="148" t="s">
        <v>223</v>
      </c>
      <c r="I42" s="148" t="s">
        <v>177</v>
      </c>
      <c r="J42" s="148"/>
      <c r="K42" s="281" t="s">
        <v>633</v>
      </c>
      <c r="L42" s="285"/>
    </row>
    <row r="43" spans="2:12" ht="15" customHeight="1">
      <c r="B43" s="268"/>
      <c r="C43" s="268"/>
      <c r="D43" s="268"/>
      <c r="E43" s="268"/>
      <c r="F43" s="133"/>
      <c r="G43" s="167">
        <v>2</v>
      </c>
      <c r="H43" s="148" t="s">
        <v>178</v>
      </c>
      <c r="I43" s="148" t="s">
        <v>179</v>
      </c>
      <c r="J43" s="148"/>
      <c r="K43" s="281"/>
      <c r="L43" s="285"/>
    </row>
    <row r="44" spans="2:12" ht="14.5" customHeight="1">
      <c r="B44" s="268"/>
      <c r="C44" s="268"/>
      <c r="D44" s="268"/>
      <c r="E44" s="268"/>
      <c r="F44" s="133"/>
      <c r="G44" s="167">
        <v>3</v>
      </c>
      <c r="H44" s="148" t="s">
        <v>204</v>
      </c>
      <c r="I44" s="148" t="s">
        <v>218</v>
      </c>
      <c r="J44" s="148"/>
      <c r="K44" s="281"/>
      <c r="L44" s="285"/>
    </row>
    <row r="45" spans="2:12">
      <c r="B45" s="268" t="s">
        <v>187</v>
      </c>
      <c r="C45" s="268" t="s">
        <v>224</v>
      </c>
      <c r="D45" s="268" t="s">
        <v>66</v>
      </c>
      <c r="E45" s="268"/>
      <c r="F45" s="133"/>
      <c r="G45" s="167">
        <v>1</v>
      </c>
      <c r="H45" s="148" t="s">
        <v>216</v>
      </c>
      <c r="I45" s="148" t="s">
        <v>177</v>
      </c>
      <c r="J45" s="148"/>
      <c r="K45" s="281" t="s">
        <v>633</v>
      </c>
      <c r="L45" s="285"/>
    </row>
    <row r="46" spans="2:12">
      <c r="B46" s="268"/>
      <c r="C46" s="268"/>
      <c r="D46" s="268"/>
      <c r="E46" s="268"/>
      <c r="F46" s="133"/>
      <c r="G46" s="167">
        <v>2</v>
      </c>
      <c r="H46" s="148" t="s">
        <v>178</v>
      </c>
      <c r="I46" s="148" t="s">
        <v>179</v>
      </c>
      <c r="J46" s="148"/>
      <c r="K46" s="281"/>
      <c r="L46" s="285"/>
    </row>
    <row r="47" spans="2:12" ht="14.5" customHeight="1">
      <c r="B47" s="268"/>
      <c r="C47" s="268"/>
      <c r="D47" s="268"/>
      <c r="E47" s="268"/>
      <c r="F47" s="133"/>
      <c r="G47" s="167">
        <v>3</v>
      </c>
      <c r="H47" s="148" t="s">
        <v>217</v>
      </c>
      <c r="I47" s="148" t="s">
        <v>218</v>
      </c>
      <c r="J47" s="148"/>
      <c r="K47" s="281"/>
      <c r="L47" s="285"/>
    </row>
    <row r="48" spans="2:12">
      <c r="B48" s="268" t="s">
        <v>187</v>
      </c>
      <c r="C48" s="268" t="s">
        <v>225</v>
      </c>
      <c r="D48" s="268" t="s">
        <v>66</v>
      </c>
      <c r="E48" s="268"/>
      <c r="F48" s="133"/>
      <c r="G48" s="167">
        <v>1</v>
      </c>
      <c r="H48" s="148" t="s">
        <v>225</v>
      </c>
      <c r="I48" s="148" t="s">
        <v>226</v>
      </c>
      <c r="J48" s="148"/>
      <c r="K48" s="281" t="s">
        <v>633</v>
      </c>
      <c r="L48" s="285" t="s">
        <v>227</v>
      </c>
    </row>
    <row r="49" spans="2:12" ht="29">
      <c r="B49" s="268"/>
      <c r="C49" s="268"/>
      <c r="D49" s="268"/>
      <c r="E49" s="268"/>
      <c r="F49" s="133"/>
      <c r="G49" s="167">
        <v>2</v>
      </c>
      <c r="H49" s="148" t="s">
        <v>228</v>
      </c>
      <c r="I49" s="148" t="s">
        <v>229</v>
      </c>
      <c r="J49" s="148"/>
      <c r="K49" s="281"/>
      <c r="L49" s="285"/>
    </row>
    <row r="50" spans="2:12">
      <c r="B50" s="268" t="s">
        <v>187</v>
      </c>
      <c r="C50" s="268" t="s">
        <v>230</v>
      </c>
      <c r="D50" s="268" t="s">
        <v>66</v>
      </c>
      <c r="E50" s="268"/>
      <c r="F50" s="133"/>
      <c r="G50" s="167">
        <v>1</v>
      </c>
      <c r="H50" s="148" t="s">
        <v>220</v>
      </c>
      <c r="I50" s="148" t="s">
        <v>177</v>
      </c>
      <c r="J50" s="148"/>
      <c r="K50" s="281" t="s">
        <v>633</v>
      </c>
      <c r="L50" s="285"/>
    </row>
    <row r="51" spans="2:12">
      <c r="B51" s="268"/>
      <c r="C51" s="268"/>
      <c r="D51" s="268"/>
      <c r="E51" s="268"/>
      <c r="F51" s="133"/>
      <c r="G51" s="167">
        <v>2</v>
      </c>
      <c r="H51" s="148" t="s">
        <v>178</v>
      </c>
      <c r="I51" s="148" t="s">
        <v>179</v>
      </c>
      <c r="J51" s="148"/>
      <c r="K51" s="281"/>
      <c r="L51" s="285"/>
    </row>
    <row r="52" spans="2:12">
      <c r="B52" s="268"/>
      <c r="C52" s="268"/>
      <c r="D52" s="268"/>
      <c r="E52" s="268"/>
      <c r="F52" s="133"/>
      <c r="G52" s="167">
        <v>3</v>
      </c>
      <c r="H52" s="148" t="s">
        <v>221</v>
      </c>
      <c r="I52" s="148" t="s">
        <v>200</v>
      </c>
      <c r="J52" s="148"/>
      <c r="K52" s="281"/>
      <c r="L52" s="285"/>
    </row>
    <row r="53" spans="2:12">
      <c r="B53" s="268" t="s">
        <v>187</v>
      </c>
      <c r="C53" s="268" t="s">
        <v>231</v>
      </c>
      <c r="D53" s="268" t="s">
        <v>66</v>
      </c>
      <c r="E53" s="268"/>
      <c r="F53" s="133"/>
      <c r="G53" s="167">
        <v>1</v>
      </c>
      <c r="H53" s="148" t="s">
        <v>223</v>
      </c>
      <c r="I53" s="148" t="s">
        <v>177</v>
      </c>
      <c r="J53" s="148"/>
      <c r="K53" s="281" t="s">
        <v>633</v>
      </c>
      <c r="L53" s="285"/>
    </row>
    <row r="54" spans="2:12" ht="15" customHeight="1">
      <c r="B54" s="268"/>
      <c r="C54" s="268"/>
      <c r="D54" s="268"/>
      <c r="E54" s="268"/>
      <c r="F54" s="133"/>
      <c r="G54" s="167">
        <v>2</v>
      </c>
      <c r="H54" s="148" t="s">
        <v>178</v>
      </c>
      <c r="I54" s="148" t="s">
        <v>179</v>
      </c>
      <c r="J54" s="148"/>
      <c r="K54" s="281"/>
      <c r="L54" s="285"/>
    </row>
    <row r="55" spans="2:12">
      <c r="B55" s="268"/>
      <c r="C55" s="268"/>
      <c r="D55" s="268"/>
      <c r="E55" s="268"/>
      <c r="F55" s="133"/>
      <c r="G55" s="167">
        <v>3</v>
      </c>
      <c r="H55" s="148" t="s">
        <v>221</v>
      </c>
      <c r="I55" s="148" t="s">
        <v>200</v>
      </c>
      <c r="J55" s="148"/>
      <c r="K55" s="281"/>
      <c r="L55" s="285"/>
    </row>
    <row r="56" spans="2:12">
      <c r="B56" s="297" t="s">
        <v>232</v>
      </c>
      <c r="C56" s="298"/>
      <c r="D56" s="298"/>
      <c r="E56" s="298"/>
      <c r="F56" s="298"/>
      <c r="G56" s="298"/>
      <c r="H56" s="298"/>
      <c r="I56" s="298"/>
      <c r="J56" s="298"/>
      <c r="K56" s="298"/>
      <c r="L56" s="299"/>
    </row>
    <row r="57" spans="2:12" ht="58">
      <c r="B57" s="140" t="s">
        <v>233</v>
      </c>
      <c r="C57" s="96" t="s">
        <v>234</v>
      </c>
      <c r="D57" s="96" t="s">
        <v>91</v>
      </c>
      <c r="E57" s="96"/>
      <c r="F57" s="96"/>
      <c r="G57" s="107" t="s">
        <v>69</v>
      </c>
      <c r="H57" s="68" t="s">
        <v>235</v>
      </c>
      <c r="I57" s="109" t="s">
        <v>236</v>
      </c>
      <c r="J57" s="113"/>
      <c r="K57" s="111" t="s">
        <v>633</v>
      </c>
      <c r="L57" s="213"/>
    </row>
    <row r="58" spans="2:12" ht="15" customHeight="1">
      <c r="B58" s="300" t="s">
        <v>237</v>
      </c>
      <c r="C58" s="301" t="s">
        <v>238</v>
      </c>
      <c r="D58" s="301" t="s">
        <v>91</v>
      </c>
      <c r="E58" s="301"/>
      <c r="F58" s="301"/>
      <c r="G58" s="107" t="s">
        <v>69</v>
      </c>
      <c r="H58" s="68" t="s">
        <v>239</v>
      </c>
      <c r="I58" s="121" t="s">
        <v>240</v>
      </c>
      <c r="J58" s="86"/>
      <c r="K58" s="281" t="s">
        <v>633</v>
      </c>
      <c r="L58" s="265"/>
    </row>
    <row r="59" spans="2:12" ht="43.5">
      <c r="B59" s="300"/>
      <c r="C59" s="301"/>
      <c r="D59" s="301"/>
      <c r="E59" s="301"/>
      <c r="F59" s="301"/>
      <c r="G59" s="107" t="s">
        <v>72</v>
      </c>
      <c r="H59" s="68" t="s">
        <v>241</v>
      </c>
      <c r="I59" s="121" t="s">
        <v>242</v>
      </c>
      <c r="J59" s="86"/>
      <c r="K59" s="281"/>
      <c r="L59" s="265"/>
    </row>
    <row r="60" spans="2:12">
      <c r="B60" s="268" t="s">
        <v>187</v>
      </c>
      <c r="C60" s="268" t="s">
        <v>243</v>
      </c>
      <c r="D60" s="268" t="s">
        <v>66</v>
      </c>
      <c r="E60" s="268"/>
      <c r="F60" s="133" t="s">
        <v>244</v>
      </c>
      <c r="G60" s="167">
        <v>1</v>
      </c>
      <c r="H60" s="148" t="s">
        <v>245</v>
      </c>
      <c r="I60" s="148" t="s">
        <v>246</v>
      </c>
      <c r="J60" s="148"/>
      <c r="K60" s="281" t="s">
        <v>633</v>
      </c>
      <c r="L60" s="285"/>
    </row>
    <row r="61" spans="2:12" ht="29">
      <c r="B61" s="268"/>
      <c r="C61" s="268"/>
      <c r="D61" s="268"/>
      <c r="E61" s="268"/>
      <c r="F61" s="133" t="s">
        <v>247</v>
      </c>
      <c r="G61" s="167">
        <v>2</v>
      </c>
      <c r="H61" s="148" t="s">
        <v>248</v>
      </c>
      <c r="I61" s="148" t="s">
        <v>249</v>
      </c>
      <c r="J61" s="148"/>
      <c r="K61" s="281"/>
      <c r="L61" s="285"/>
    </row>
    <row r="62" spans="2:12">
      <c r="B62" s="268" t="s">
        <v>187</v>
      </c>
      <c r="C62" s="268" t="s">
        <v>250</v>
      </c>
      <c r="D62" s="268" t="s">
        <v>66</v>
      </c>
      <c r="E62" s="268"/>
      <c r="F62" s="133"/>
      <c r="G62" s="167">
        <v>1</v>
      </c>
      <c r="H62" s="148" t="s">
        <v>251</v>
      </c>
      <c r="I62" s="148" t="s">
        <v>97</v>
      </c>
      <c r="J62" s="148"/>
      <c r="K62" s="281" t="s">
        <v>633</v>
      </c>
      <c r="L62" s="285"/>
    </row>
    <row r="63" spans="2:12">
      <c r="B63" s="268"/>
      <c r="C63" s="268"/>
      <c r="D63" s="268"/>
      <c r="E63" s="268"/>
      <c r="F63" s="133"/>
      <c r="G63" s="167">
        <v>2</v>
      </c>
      <c r="H63" s="148" t="s">
        <v>252</v>
      </c>
      <c r="I63" s="148" t="s">
        <v>253</v>
      </c>
      <c r="J63" s="148"/>
      <c r="K63" s="281"/>
      <c r="L63" s="285"/>
    </row>
    <row r="64" spans="2:12">
      <c r="B64" s="303" t="s">
        <v>172</v>
      </c>
      <c r="C64" s="303"/>
      <c r="D64" s="303"/>
      <c r="E64" s="303"/>
      <c r="F64" s="303"/>
      <c r="G64" s="303"/>
      <c r="H64" s="303"/>
      <c r="I64" s="303"/>
      <c r="J64" s="303"/>
      <c r="K64" s="303"/>
      <c r="L64" s="303"/>
    </row>
    <row r="65" spans="2:12">
      <c r="B65" s="268" t="s">
        <v>174</v>
      </c>
      <c r="C65" s="268" t="s">
        <v>254</v>
      </c>
      <c r="D65" s="268" t="s">
        <v>91</v>
      </c>
      <c r="E65" s="133"/>
      <c r="F65" s="133"/>
      <c r="G65" s="167">
        <v>1</v>
      </c>
      <c r="H65" s="148" t="s">
        <v>255</v>
      </c>
      <c r="I65" s="148" t="s">
        <v>256</v>
      </c>
      <c r="J65" s="156"/>
      <c r="K65" s="281" t="s">
        <v>633</v>
      </c>
      <c r="L65" s="285" t="s">
        <v>257</v>
      </c>
    </row>
    <row r="66" spans="2:12" ht="29">
      <c r="B66" s="268"/>
      <c r="C66" s="268"/>
      <c r="D66" s="268"/>
      <c r="E66" s="133"/>
      <c r="F66" s="133"/>
      <c r="G66" s="167">
        <v>2</v>
      </c>
      <c r="H66" s="148" t="s">
        <v>258</v>
      </c>
      <c r="I66" s="148" t="s">
        <v>259</v>
      </c>
      <c r="J66" s="156"/>
      <c r="K66" s="281"/>
      <c r="L66" s="285"/>
    </row>
    <row r="67" spans="2:12">
      <c r="B67" s="268" t="s">
        <v>174</v>
      </c>
      <c r="C67" s="268" t="s">
        <v>260</v>
      </c>
      <c r="D67" s="268" t="s">
        <v>91</v>
      </c>
      <c r="E67" s="133"/>
      <c r="F67" s="133"/>
      <c r="G67" s="167">
        <v>1</v>
      </c>
      <c r="H67" s="148" t="s">
        <v>261</v>
      </c>
      <c r="I67" s="148" t="s">
        <v>256</v>
      </c>
      <c r="J67" s="156"/>
      <c r="K67" s="281" t="s">
        <v>633</v>
      </c>
      <c r="L67" s="285" t="s">
        <v>257</v>
      </c>
    </row>
    <row r="68" spans="2:12" ht="29">
      <c r="B68" s="268"/>
      <c r="C68" s="268"/>
      <c r="D68" s="268"/>
      <c r="E68" s="133"/>
      <c r="F68" s="133"/>
      <c r="G68" s="167">
        <v>2</v>
      </c>
      <c r="H68" s="148" t="s">
        <v>262</v>
      </c>
      <c r="I68" s="148" t="s">
        <v>259</v>
      </c>
      <c r="J68" s="156"/>
      <c r="K68" s="281"/>
      <c r="L68" s="285"/>
    </row>
    <row r="69" spans="2:12"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</row>
    <row r="70" spans="2:12">
      <c r="K70" s="4"/>
    </row>
    <row r="71" spans="2:12">
      <c r="K71" s="4"/>
    </row>
    <row r="72" spans="2:12">
      <c r="K72" s="4"/>
    </row>
    <row r="73" spans="2:12">
      <c r="K73" s="4"/>
    </row>
    <row r="74" spans="2:12">
      <c r="K74" s="4"/>
    </row>
  </sheetData>
  <mergeCells count="132">
    <mergeCell ref="B62:B63"/>
    <mergeCell ref="C62:C63"/>
    <mergeCell ref="D62:D63"/>
    <mergeCell ref="E62:E63"/>
    <mergeCell ref="K62:K63"/>
    <mergeCell ref="L62:L63"/>
    <mergeCell ref="B69:L69"/>
    <mergeCell ref="B42:B44"/>
    <mergeCell ref="C42:C44"/>
    <mergeCell ref="D42:D44"/>
    <mergeCell ref="E42:E44"/>
    <mergeCell ref="K42:K44"/>
    <mergeCell ref="L42:L44"/>
    <mergeCell ref="B60:B61"/>
    <mergeCell ref="C60:C61"/>
    <mergeCell ref="D60:D61"/>
    <mergeCell ref="E60:E61"/>
    <mergeCell ref="K60:K61"/>
    <mergeCell ref="L60:L61"/>
    <mergeCell ref="B67:B68"/>
    <mergeCell ref="C67:C68"/>
    <mergeCell ref="D67:D68"/>
    <mergeCell ref="K67:K68"/>
    <mergeCell ref="L67:L68"/>
    <mergeCell ref="L36:L38"/>
    <mergeCell ref="B36:B38"/>
    <mergeCell ref="C36:C38"/>
    <mergeCell ref="D36:D38"/>
    <mergeCell ref="E36:E38"/>
    <mergeCell ref="K36:K38"/>
    <mergeCell ref="B39:B41"/>
    <mergeCell ref="C39:C41"/>
    <mergeCell ref="D39:D41"/>
    <mergeCell ref="E39:E41"/>
    <mergeCell ref="K39:K41"/>
    <mergeCell ref="L39:L41"/>
    <mergeCell ref="B33:B35"/>
    <mergeCell ref="C33:C35"/>
    <mergeCell ref="D33:D35"/>
    <mergeCell ref="E33:E35"/>
    <mergeCell ref="K33:K35"/>
    <mergeCell ref="L33:L35"/>
    <mergeCell ref="B27:B29"/>
    <mergeCell ref="C27:C29"/>
    <mergeCell ref="D27:D29"/>
    <mergeCell ref="E27:E29"/>
    <mergeCell ref="K27:K29"/>
    <mergeCell ref="L27:L29"/>
    <mergeCell ref="B30:B32"/>
    <mergeCell ref="C30:C32"/>
    <mergeCell ref="D30:D32"/>
    <mergeCell ref="E30:E32"/>
    <mergeCell ref="K30:K32"/>
    <mergeCell ref="L30:L32"/>
    <mergeCell ref="B2:B3"/>
    <mergeCell ref="G6:H6"/>
    <mergeCell ref="B7:L7"/>
    <mergeCell ref="B8:L8"/>
    <mergeCell ref="B9:B11"/>
    <mergeCell ref="C9:C11"/>
    <mergeCell ref="D9:D11"/>
    <mergeCell ref="E9:E11"/>
    <mergeCell ref="K9:K11"/>
    <mergeCell ref="L9:L11"/>
    <mergeCell ref="B24:B26"/>
    <mergeCell ref="C24:C26"/>
    <mergeCell ref="D24:D26"/>
    <mergeCell ref="E24:E26"/>
    <mergeCell ref="K24:K26"/>
    <mergeCell ref="L24:L26"/>
    <mergeCell ref="L15:L17"/>
    <mergeCell ref="B12:B14"/>
    <mergeCell ref="C12:C14"/>
    <mergeCell ref="D12:D14"/>
    <mergeCell ref="E12:E14"/>
    <mergeCell ref="K12:K14"/>
    <mergeCell ref="L12:L14"/>
    <mergeCell ref="B15:B17"/>
    <mergeCell ref="C15:C17"/>
    <mergeCell ref="D15:D17"/>
    <mergeCell ref="E15:E17"/>
    <mergeCell ref="K15:K17"/>
    <mergeCell ref="B18:B20"/>
    <mergeCell ref="C18:C20"/>
    <mergeCell ref="D18:D20"/>
    <mergeCell ref="E18:E20"/>
    <mergeCell ref="K18:K20"/>
    <mergeCell ref="L18:L20"/>
    <mergeCell ref="B21:B23"/>
    <mergeCell ref="C21:C23"/>
    <mergeCell ref="D21:D23"/>
    <mergeCell ref="E21:E23"/>
    <mergeCell ref="K21:K23"/>
    <mergeCell ref="L21:L23"/>
    <mergeCell ref="B64:L64"/>
    <mergeCell ref="B65:B66"/>
    <mergeCell ref="C65:C66"/>
    <mergeCell ref="D65:D66"/>
    <mergeCell ref="K65:K66"/>
    <mergeCell ref="L65:L66"/>
    <mergeCell ref="B45:B47"/>
    <mergeCell ref="C45:C47"/>
    <mergeCell ref="D45:D47"/>
    <mergeCell ref="E45:E47"/>
    <mergeCell ref="K45:K47"/>
    <mergeCell ref="L45:L47"/>
    <mergeCell ref="B48:B49"/>
    <mergeCell ref="C48:C49"/>
    <mergeCell ref="D48:D49"/>
    <mergeCell ref="E48:E49"/>
    <mergeCell ref="K48:K49"/>
    <mergeCell ref="L48:L49"/>
    <mergeCell ref="B56:L56"/>
    <mergeCell ref="B58:B59"/>
    <mergeCell ref="C58:C59"/>
    <mergeCell ref="D58:D59"/>
    <mergeCell ref="E58:E59"/>
    <mergeCell ref="F58:F59"/>
    <mergeCell ref="K58:K59"/>
    <mergeCell ref="L58:L59"/>
    <mergeCell ref="B50:B52"/>
    <mergeCell ref="C50:C52"/>
    <mergeCell ref="D50:D52"/>
    <mergeCell ref="E50:E52"/>
    <mergeCell ref="K50:K52"/>
    <mergeCell ref="L50:L52"/>
    <mergeCell ref="B53:B55"/>
    <mergeCell ref="C53:C55"/>
    <mergeCell ref="D53:D55"/>
    <mergeCell ref="E53:E55"/>
    <mergeCell ref="K53:K55"/>
    <mergeCell ref="L53:L55"/>
  </mergeCells>
  <phoneticPr fontId="19" type="noConversion"/>
  <conditionalFormatting sqref="K9">
    <cfRule type="cellIs" dxfId="444" priority="74" operator="equal">
      <formula>0</formula>
    </cfRule>
    <cfRule type="cellIs" dxfId="443" priority="73" operator="equal">
      <formula>1</formula>
    </cfRule>
    <cfRule type="cellIs" dxfId="442" priority="72" operator="equal">
      <formula>"."</formula>
    </cfRule>
  </conditionalFormatting>
  <conditionalFormatting sqref="K12">
    <cfRule type="cellIs" dxfId="441" priority="66" operator="equal">
      <formula>"."</formula>
    </cfRule>
    <cfRule type="cellIs" dxfId="440" priority="68" operator="equal">
      <formula>0</formula>
    </cfRule>
    <cfRule type="cellIs" dxfId="439" priority="67" operator="equal">
      <formula>1</formula>
    </cfRule>
  </conditionalFormatting>
  <conditionalFormatting sqref="K15">
    <cfRule type="cellIs" dxfId="438" priority="71" operator="equal">
      <formula>0</formula>
    </cfRule>
    <cfRule type="cellIs" dxfId="437" priority="70" operator="equal">
      <formula>1</formula>
    </cfRule>
    <cfRule type="cellIs" dxfId="436" priority="69" operator="equal">
      <formula>"."</formula>
    </cfRule>
  </conditionalFormatting>
  <conditionalFormatting sqref="K18">
    <cfRule type="cellIs" dxfId="435" priority="65" operator="equal">
      <formula>0</formula>
    </cfRule>
    <cfRule type="cellIs" dxfId="434" priority="64" operator="equal">
      <formula>1</formula>
    </cfRule>
    <cfRule type="cellIs" dxfId="433" priority="63" operator="equal">
      <formula>"."</formula>
    </cfRule>
  </conditionalFormatting>
  <conditionalFormatting sqref="K21">
    <cfRule type="cellIs" dxfId="432" priority="51" operator="equal">
      <formula>"."</formula>
    </cfRule>
    <cfRule type="cellIs" dxfId="431" priority="53" operator="equal">
      <formula>0</formula>
    </cfRule>
    <cfRule type="cellIs" dxfId="430" priority="52" operator="equal">
      <formula>1</formula>
    </cfRule>
  </conditionalFormatting>
  <conditionalFormatting sqref="K24:K25">
    <cfRule type="cellIs" dxfId="429" priority="56" operator="equal">
      <formula>0</formula>
    </cfRule>
    <cfRule type="cellIs" dxfId="428" priority="55" operator="equal">
      <formula>1</formula>
    </cfRule>
    <cfRule type="cellIs" dxfId="427" priority="54" operator="equal">
      <formula>"."</formula>
    </cfRule>
  </conditionalFormatting>
  <conditionalFormatting sqref="K27">
    <cfRule type="cellIs" dxfId="426" priority="50" operator="equal">
      <formula>0</formula>
    </cfRule>
    <cfRule type="cellIs" dxfId="425" priority="49" operator="equal">
      <formula>1</formula>
    </cfRule>
    <cfRule type="cellIs" dxfId="424" priority="48" operator="equal">
      <formula>"."</formula>
    </cfRule>
  </conditionalFormatting>
  <conditionalFormatting sqref="K30">
    <cfRule type="cellIs" dxfId="423" priority="44" operator="equal">
      <formula>0</formula>
    </cfRule>
    <cfRule type="cellIs" dxfId="422" priority="42" operator="equal">
      <formula>"."</formula>
    </cfRule>
    <cfRule type="cellIs" dxfId="421" priority="43" operator="equal">
      <formula>1</formula>
    </cfRule>
  </conditionalFormatting>
  <conditionalFormatting sqref="K33">
    <cfRule type="cellIs" dxfId="420" priority="45" operator="equal">
      <formula>"."</formula>
    </cfRule>
    <cfRule type="cellIs" dxfId="419" priority="46" operator="equal">
      <formula>1</formula>
    </cfRule>
    <cfRule type="cellIs" dxfId="418" priority="47" operator="equal">
      <formula>0</formula>
    </cfRule>
  </conditionalFormatting>
  <conditionalFormatting sqref="K36">
    <cfRule type="cellIs" dxfId="417" priority="31" operator="equal">
      <formula>1</formula>
    </cfRule>
    <cfRule type="cellIs" dxfId="416" priority="30" operator="equal">
      <formula>"."</formula>
    </cfRule>
    <cfRule type="cellIs" dxfId="415" priority="32" operator="equal">
      <formula>0</formula>
    </cfRule>
  </conditionalFormatting>
  <conditionalFormatting sqref="K39">
    <cfRule type="cellIs" dxfId="414" priority="38" operator="equal">
      <formula>0</formula>
    </cfRule>
    <cfRule type="cellIs" dxfId="413" priority="37" operator="equal">
      <formula>1</formula>
    </cfRule>
    <cfRule type="cellIs" dxfId="412" priority="36" operator="equal">
      <formula>"."</formula>
    </cfRule>
  </conditionalFormatting>
  <conditionalFormatting sqref="K42">
    <cfRule type="cellIs" dxfId="411" priority="26" operator="equal">
      <formula>0</formula>
    </cfRule>
    <cfRule type="cellIs" dxfId="410" priority="25" operator="equal">
      <formula>1</formula>
    </cfRule>
    <cfRule type="cellIs" dxfId="409" priority="24" operator="equal">
      <formula>"."</formula>
    </cfRule>
  </conditionalFormatting>
  <conditionalFormatting sqref="K45">
    <cfRule type="cellIs" dxfId="408" priority="12" operator="equal">
      <formula>"."</formula>
    </cfRule>
    <cfRule type="cellIs" dxfId="407" priority="14" operator="equal">
      <formula>0</formula>
    </cfRule>
    <cfRule type="cellIs" dxfId="406" priority="13" operator="equal">
      <formula>1</formula>
    </cfRule>
  </conditionalFormatting>
  <conditionalFormatting sqref="K48">
    <cfRule type="cellIs" dxfId="405" priority="20" operator="equal">
      <formula>0</formula>
    </cfRule>
    <cfRule type="cellIs" dxfId="404" priority="19" operator="equal">
      <formula>1</formula>
    </cfRule>
    <cfRule type="cellIs" dxfId="403" priority="18" operator="equal">
      <formula>"."</formula>
    </cfRule>
  </conditionalFormatting>
  <conditionalFormatting sqref="K50">
    <cfRule type="cellIs" dxfId="402" priority="9" operator="equal">
      <formula>"."</formula>
    </cfRule>
    <cfRule type="cellIs" dxfId="401" priority="10" operator="equal">
      <formula>1</formula>
    </cfRule>
    <cfRule type="cellIs" dxfId="400" priority="11" operator="equal">
      <formula>0</formula>
    </cfRule>
  </conditionalFormatting>
  <conditionalFormatting sqref="K53">
    <cfRule type="cellIs" dxfId="399" priority="15" operator="equal">
      <formula>"."</formula>
    </cfRule>
    <cfRule type="cellIs" dxfId="398" priority="17" operator="equal">
      <formula>0</formula>
    </cfRule>
    <cfRule type="cellIs" dxfId="397" priority="16" operator="equal">
      <formula>1</formula>
    </cfRule>
  </conditionalFormatting>
  <conditionalFormatting sqref="K57:K58">
    <cfRule type="cellIs" dxfId="396" priority="2" operator="equal">
      <formula>"."</formula>
    </cfRule>
    <cfRule type="cellIs" dxfId="395" priority="3" operator="equal">
      <formula>1</formula>
    </cfRule>
    <cfRule type="cellIs" dxfId="394" priority="4" operator="equal">
      <formula>0</formula>
    </cfRule>
    <cfRule type="cellIs" dxfId="393" priority="1" operator="equal">
      <formula>"Block"</formula>
    </cfRule>
  </conditionalFormatting>
  <conditionalFormatting sqref="K60">
    <cfRule type="cellIs" dxfId="392" priority="29" operator="equal">
      <formula>0</formula>
    </cfRule>
    <cfRule type="cellIs" dxfId="391" priority="28" operator="equal">
      <formula>1</formula>
    </cfRule>
    <cfRule type="cellIs" dxfId="390" priority="27" operator="equal">
      <formula>"."</formula>
    </cfRule>
  </conditionalFormatting>
  <conditionalFormatting sqref="K62">
    <cfRule type="cellIs" dxfId="389" priority="41" operator="equal">
      <formula>0</formula>
    </cfRule>
    <cfRule type="cellIs" dxfId="388" priority="40" operator="equal">
      <formula>1</formula>
    </cfRule>
    <cfRule type="cellIs" dxfId="387" priority="39" operator="equal">
      <formula>"."</formula>
    </cfRule>
  </conditionalFormatting>
  <conditionalFormatting sqref="K64:K65">
    <cfRule type="cellIs" dxfId="386" priority="60" operator="equal">
      <formula>"."</formula>
    </cfRule>
    <cfRule type="cellIs" dxfId="385" priority="61" operator="equal">
      <formula>1</formula>
    </cfRule>
    <cfRule type="cellIs" dxfId="384" priority="62" operator="equal">
      <formula>0</formula>
    </cfRule>
  </conditionalFormatting>
  <conditionalFormatting sqref="K67">
    <cfRule type="cellIs" dxfId="383" priority="59" operator="equal">
      <formula>0</formula>
    </cfRule>
    <cfRule type="cellIs" dxfId="382" priority="57" operator="equal">
      <formula>"."</formula>
    </cfRule>
    <cfRule type="cellIs" dxfId="381" priority="58" operator="equal">
      <formula>1</formula>
    </cfRule>
  </conditionalFormatting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260A-ED33-4AF1-AECA-BDB2970E4952}">
  <dimension ref="B1:R32"/>
  <sheetViews>
    <sheetView zoomScale="70" zoomScaleNormal="70" workbookViewId="0">
      <selection activeCell="J24" sqref="J24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2.1796875" style="33" bestFit="1" customWidth="1"/>
    <col min="4" max="4" width="11.81640625" style="33" customWidth="1"/>
    <col min="5" max="5" width="32" style="33" customWidth="1"/>
    <col min="6" max="6" width="27.7265625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7" width="23.54296875" style="4" customWidth="1"/>
    <col min="18" max="16384" width="9.1796875" style="4"/>
  </cols>
  <sheetData>
    <row r="1" spans="2:18">
      <c r="O1" s="5"/>
    </row>
    <row r="2" spans="2:18" ht="21.75" customHeight="1">
      <c r="B2" s="276">
        <f>SUM(O3:O5)/O7</f>
        <v>0</v>
      </c>
      <c r="C2" s="47"/>
      <c r="D2" s="47"/>
      <c r="E2" s="47"/>
      <c r="F2" s="47"/>
      <c r="G2" s="60"/>
      <c r="H2" s="24" t="s">
        <v>40</v>
      </c>
      <c r="I2" s="63" t="str">
        <f>[1]Cover!B3</f>
        <v xml:space="preserve">Project Name </v>
      </c>
      <c r="J2" s="37"/>
      <c r="K2" s="16"/>
      <c r="L2" s="15"/>
      <c r="N2" s="56" t="s">
        <v>41</v>
      </c>
      <c r="O2" s="55">
        <f>SUM(O3:O5)/O7</f>
        <v>0</v>
      </c>
      <c r="Q2" s="84" t="s">
        <v>42</v>
      </c>
    </row>
    <row r="3" spans="2:18" ht="23.5">
      <c r="B3" s="277"/>
      <c r="C3" s="48"/>
      <c r="D3" s="48"/>
      <c r="E3" s="48"/>
      <c r="F3" s="48"/>
      <c r="G3" s="61"/>
      <c r="H3" s="23" t="s">
        <v>43</v>
      </c>
      <c r="I3" s="59" t="str">
        <f>[1]Cover!B11</f>
        <v>TC01 Login</v>
      </c>
      <c r="J3" s="38"/>
      <c r="K3" s="12"/>
      <c r="L3" s="13"/>
      <c r="N3" s="57" t="s">
        <v>44</v>
      </c>
      <c r="O3" s="58">
        <f>COUNTIF(K7:K27,1)</f>
        <v>0</v>
      </c>
      <c r="Q3" s="84" t="s">
        <v>45</v>
      </c>
      <c r="R3" s="85">
        <f>COUNTIF(D8:D20,"Positive")</f>
        <v>1</v>
      </c>
    </row>
    <row r="4" spans="2:18">
      <c r="B4" s="30" t="s">
        <v>46</v>
      </c>
      <c r="C4" s="49"/>
      <c r="D4" s="49"/>
      <c r="E4" s="49"/>
      <c r="F4" s="49"/>
      <c r="G4" s="62"/>
      <c r="H4" s="23" t="s">
        <v>47</v>
      </c>
      <c r="I4" s="50" t="s">
        <v>48</v>
      </c>
      <c r="J4" s="38"/>
      <c r="K4" s="12"/>
      <c r="L4" s="13"/>
      <c r="M4" s="22"/>
      <c r="N4" s="17" t="s">
        <v>49</v>
      </c>
      <c r="O4" s="18">
        <f>COUNTIF(K7:K27,0)</f>
        <v>0</v>
      </c>
      <c r="P4" s="5"/>
      <c r="Q4" s="84" t="s">
        <v>50</v>
      </c>
      <c r="R4" s="85">
        <f>COUNTIF(D9:D20,"Negative")</f>
        <v>3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COUNTIF(K9:K29,"Block")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60</v>
      </c>
      <c r="N6" s="19" t="s">
        <v>61</v>
      </c>
      <c r="O6" s="20">
        <f>COUNTIF(K7:K27,".")</f>
        <v>6</v>
      </c>
    </row>
    <row r="7" spans="2:18">
      <c r="B7" s="280" t="s">
        <v>62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N7" s="21" t="s">
        <v>63</v>
      </c>
      <c r="O7" s="21">
        <f>SUM(O3:O6)</f>
        <v>6</v>
      </c>
    </row>
    <row r="8" spans="2:18" ht="15" customHeight="1">
      <c r="B8" s="268" t="s">
        <v>263</v>
      </c>
      <c r="C8" s="269" t="s">
        <v>264</v>
      </c>
      <c r="D8" s="269" t="s">
        <v>66</v>
      </c>
      <c r="E8" s="269"/>
      <c r="F8" s="117"/>
      <c r="G8" s="125" t="s">
        <v>69</v>
      </c>
      <c r="H8" s="68" t="s">
        <v>265</v>
      </c>
      <c r="I8" s="69" t="s">
        <v>266</v>
      </c>
      <c r="J8" s="86"/>
      <c r="K8" s="281" t="s">
        <v>633</v>
      </c>
      <c r="L8" s="308"/>
    </row>
    <row r="9" spans="2:18">
      <c r="B9" s="268"/>
      <c r="C9" s="269"/>
      <c r="D9" s="269"/>
      <c r="E9" s="269"/>
      <c r="F9" s="117"/>
      <c r="G9" s="125" t="s">
        <v>72</v>
      </c>
      <c r="H9" s="68" t="s">
        <v>267</v>
      </c>
      <c r="I9" s="69" t="s">
        <v>268</v>
      </c>
      <c r="J9" s="86"/>
      <c r="K9" s="281"/>
      <c r="L9" s="309"/>
    </row>
    <row r="10" spans="2:18">
      <c r="B10" s="268"/>
      <c r="C10" s="269"/>
      <c r="D10" s="269"/>
      <c r="E10" s="269"/>
      <c r="F10" s="117"/>
      <c r="G10" s="125" t="s">
        <v>84</v>
      </c>
      <c r="H10" s="68" t="s">
        <v>269</v>
      </c>
      <c r="I10" s="69" t="s">
        <v>270</v>
      </c>
      <c r="J10" s="86"/>
      <c r="K10" s="281"/>
      <c r="L10" s="309"/>
    </row>
    <row r="11" spans="2:18">
      <c r="B11" s="274" t="s">
        <v>88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</row>
    <row r="12" spans="2:18" ht="29">
      <c r="B12" s="268" t="s">
        <v>271</v>
      </c>
      <c r="C12" s="269" t="s">
        <v>272</v>
      </c>
      <c r="D12" s="269" t="s">
        <v>91</v>
      </c>
      <c r="E12" s="269"/>
      <c r="F12" s="269"/>
      <c r="G12" s="125" t="s">
        <v>69</v>
      </c>
      <c r="H12" s="68" t="s">
        <v>265</v>
      </c>
      <c r="I12" s="127" t="s">
        <v>273</v>
      </c>
      <c r="J12" s="86"/>
      <c r="K12" s="281" t="s">
        <v>633</v>
      </c>
      <c r="L12" s="265"/>
    </row>
    <row r="13" spans="2:18">
      <c r="B13" s="268"/>
      <c r="C13" s="269"/>
      <c r="D13" s="269"/>
      <c r="E13" s="269"/>
      <c r="F13" s="269"/>
      <c r="G13" s="125" t="s">
        <v>72</v>
      </c>
      <c r="H13" s="68" t="s">
        <v>274</v>
      </c>
      <c r="I13" s="127" t="s">
        <v>275</v>
      </c>
      <c r="J13" s="86"/>
      <c r="K13" s="281"/>
      <c r="L13" s="265"/>
    </row>
    <row r="14" spans="2:18">
      <c r="B14" s="268"/>
      <c r="C14" s="269"/>
      <c r="D14" s="269"/>
      <c r="E14" s="269"/>
      <c r="F14" s="269"/>
      <c r="G14" s="125" t="s">
        <v>84</v>
      </c>
      <c r="H14" s="68" t="s">
        <v>276</v>
      </c>
      <c r="I14" s="127" t="s">
        <v>277</v>
      </c>
      <c r="J14" s="86"/>
      <c r="K14" s="281"/>
      <c r="L14" s="265"/>
    </row>
    <row r="15" spans="2:18" ht="15" customHeight="1">
      <c r="B15" s="268" t="s">
        <v>271</v>
      </c>
      <c r="C15" s="269" t="s">
        <v>278</v>
      </c>
      <c r="D15" s="269" t="s">
        <v>91</v>
      </c>
      <c r="E15" s="269"/>
      <c r="F15" s="269"/>
      <c r="G15" s="125" t="s">
        <v>69</v>
      </c>
      <c r="H15" s="68" t="s">
        <v>265</v>
      </c>
      <c r="I15" s="127" t="s">
        <v>273</v>
      </c>
      <c r="J15" s="86"/>
      <c r="K15" s="281" t="s">
        <v>633</v>
      </c>
      <c r="L15" s="265"/>
    </row>
    <row r="16" spans="2:18">
      <c r="B16" s="268"/>
      <c r="C16" s="269"/>
      <c r="D16" s="269"/>
      <c r="E16" s="269"/>
      <c r="F16" s="269"/>
      <c r="G16" s="125" t="s">
        <v>72</v>
      </c>
      <c r="H16" s="68" t="s">
        <v>274</v>
      </c>
      <c r="I16" s="127" t="s">
        <v>275</v>
      </c>
      <c r="J16" s="86"/>
      <c r="K16" s="281"/>
      <c r="L16" s="265"/>
    </row>
    <row r="17" spans="2:12">
      <c r="B17" s="268"/>
      <c r="C17" s="269"/>
      <c r="D17" s="269"/>
      <c r="E17" s="269"/>
      <c r="F17" s="269"/>
      <c r="G17" s="125" t="s">
        <v>84</v>
      </c>
      <c r="H17" s="68" t="s">
        <v>279</v>
      </c>
      <c r="I17" s="127" t="s">
        <v>277</v>
      </c>
      <c r="J17" s="86"/>
      <c r="K17" s="281"/>
      <c r="L17" s="265"/>
    </row>
    <row r="18" spans="2:12" ht="29">
      <c r="B18" s="268" t="s">
        <v>271</v>
      </c>
      <c r="C18" s="269" t="s">
        <v>280</v>
      </c>
      <c r="D18" s="269" t="s">
        <v>91</v>
      </c>
      <c r="E18" s="269"/>
      <c r="F18" s="269"/>
      <c r="G18" s="125" t="s">
        <v>69</v>
      </c>
      <c r="H18" s="68" t="s">
        <v>265</v>
      </c>
      <c r="I18" s="127" t="s">
        <v>273</v>
      </c>
      <c r="J18" s="86"/>
      <c r="K18" s="281" t="s">
        <v>633</v>
      </c>
      <c r="L18" s="265"/>
    </row>
    <row r="19" spans="2:12">
      <c r="B19" s="268"/>
      <c r="C19" s="269"/>
      <c r="D19" s="269"/>
      <c r="E19" s="269"/>
      <c r="F19" s="269"/>
      <c r="G19" s="125" t="s">
        <v>72</v>
      </c>
      <c r="H19" s="68" t="s">
        <v>274</v>
      </c>
      <c r="I19" s="127" t="s">
        <v>275</v>
      </c>
      <c r="J19" s="86"/>
      <c r="K19" s="281"/>
      <c r="L19" s="265"/>
    </row>
    <row r="20" spans="2:12">
      <c r="B20" s="268"/>
      <c r="C20" s="269"/>
      <c r="D20" s="269"/>
      <c r="E20" s="269"/>
      <c r="F20" s="269"/>
      <c r="G20" s="125" t="s">
        <v>84</v>
      </c>
      <c r="H20" s="68" t="s">
        <v>281</v>
      </c>
      <c r="I20" s="127" t="s">
        <v>277</v>
      </c>
      <c r="J20" s="86"/>
      <c r="K20" s="281"/>
      <c r="L20" s="265"/>
    </row>
    <row r="21" spans="2:12" ht="29">
      <c r="B21" s="268" t="s">
        <v>271</v>
      </c>
      <c r="C21" s="269" t="s">
        <v>282</v>
      </c>
      <c r="D21" s="269" t="s">
        <v>91</v>
      </c>
      <c r="E21" s="269"/>
      <c r="F21" s="269"/>
      <c r="G21" s="125" t="s">
        <v>69</v>
      </c>
      <c r="H21" s="68" t="s">
        <v>265</v>
      </c>
      <c r="I21" s="127" t="s">
        <v>273</v>
      </c>
      <c r="J21" s="86"/>
      <c r="K21" s="281" t="s">
        <v>633</v>
      </c>
      <c r="L21" s="265"/>
    </row>
    <row r="22" spans="2:12">
      <c r="B22" s="268"/>
      <c r="C22" s="269"/>
      <c r="D22" s="269"/>
      <c r="E22" s="269"/>
      <c r="F22" s="269"/>
      <c r="G22" s="125" t="s">
        <v>72</v>
      </c>
      <c r="H22" s="68" t="s">
        <v>274</v>
      </c>
      <c r="I22" s="127" t="s">
        <v>275</v>
      </c>
      <c r="J22" s="86"/>
      <c r="K22" s="281"/>
      <c r="L22" s="265"/>
    </row>
    <row r="23" spans="2:12">
      <c r="B23" s="268"/>
      <c r="C23" s="269"/>
      <c r="D23" s="269"/>
      <c r="E23" s="269"/>
      <c r="F23" s="269"/>
      <c r="G23" s="125" t="s">
        <v>84</v>
      </c>
      <c r="H23" s="68" t="s">
        <v>281</v>
      </c>
      <c r="I23" s="127" t="s">
        <v>277</v>
      </c>
      <c r="J23" s="86"/>
      <c r="K23" s="281"/>
      <c r="L23" s="265"/>
    </row>
    <row r="24" spans="2:12" ht="29">
      <c r="B24" s="268" t="s">
        <v>271</v>
      </c>
      <c r="C24" s="269" t="s">
        <v>283</v>
      </c>
      <c r="D24" s="269" t="s">
        <v>91</v>
      </c>
      <c r="E24" s="269"/>
      <c r="F24" s="269"/>
      <c r="G24" s="125" t="s">
        <v>69</v>
      </c>
      <c r="H24" s="68" t="s">
        <v>265</v>
      </c>
      <c r="I24" s="127" t="s">
        <v>273</v>
      </c>
      <c r="J24" s="86"/>
      <c r="K24" s="281" t="s">
        <v>633</v>
      </c>
      <c r="L24" s="265"/>
    </row>
    <row r="25" spans="2:12">
      <c r="B25" s="268"/>
      <c r="C25" s="269"/>
      <c r="D25" s="269"/>
      <c r="E25" s="269"/>
      <c r="F25" s="269"/>
      <c r="G25" s="125" t="s">
        <v>72</v>
      </c>
      <c r="H25" s="68" t="s">
        <v>284</v>
      </c>
      <c r="I25" s="127" t="s">
        <v>275</v>
      </c>
      <c r="J25" s="86"/>
      <c r="K25" s="281"/>
      <c r="L25" s="265"/>
    </row>
    <row r="26" spans="2:12">
      <c r="B26" s="268"/>
      <c r="C26" s="269"/>
      <c r="D26" s="269"/>
      <c r="E26" s="269"/>
      <c r="F26" s="269"/>
      <c r="G26" s="125" t="s">
        <v>84</v>
      </c>
      <c r="H26" s="68" t="s">
        <v>285</v>
      </c>
      <c r="I26" s="127" t="s">
        <v>277</v>
      </c>
      <c r="J26" s="86"/>
      <c r="K26" s="281"/>
      <c r="L26" s="265"/>
    </row>
    <row r="27" spans="2:12">
      <c r="B27" s="305"/>
      <c r="C27" s="306"/>
      <c r="D27" s="306"/>
      <c r="E27" s="306"/>
      <c r="F27" s="306"/>
      <c r="G27" s="306"/>
      <c r="H27" s="306"/>
      <c r="I27" s="306"/>
      <c r="J27" s="306"/>
      <c r="K27" s="306"/>
      <c r="L27" s="307"/>
    </row>
    <row r="28" spans="2:12">
      <c r="K28" s="4"/>
    </row>
    <row r="29" spans="2:12">
      <c r="K29" s="4"/>
    </row>
    <row r="30" spans="2:12">
      <c r="K30" s="4"/>
    </row>
    <row r="31" spans="2:12">
      <c r="K31" s="4"/>
    </row>
    <row r="32" spans="2:12">
      <c r="K32" s="4"/>
    </row>
  </sheetData>
  <mergeCells count="46">
    <mergeCell ref="B2:B3"/>
    <mergeCell ref="G6:H6"/>
    <mergeCell ref="B7:L7"/>
    <mergeCell ref="B8:B10"/>
    <mergeCell ref="C8:C10"/>
    <mergeCell ref="D8:D10"/>
    <mergeCell ref="E8:E10"/>
    <mergeCell ref="K8:K10"/>
    <mergeCell ref="L8:L10"/>
    <mergeCell ref="L15:L17"/>
    <mergeCell ref="B18:B20"/>
    <mergeCell ref="C18:C20"/>
    <mergeCell ref="D18:D20"/>
    <mergeCell ref="E18:E20"/>
    <mergeCell ref="F18:F20"/>
    <mergeCell ref="K18:K20"/>
    <mergeCell ref="L18:L20"/>
    <mergeCell ref="B15:B17"/>
    <mergeCell ref="C15:C17"/>
    <mergeCell ref="D15:D17"/>
    <mergeCell ref="E15:E17"/>
    <mergeCell ref="F15:F17"/>
    <mergeCell ref="K15:K17"/>
    <mergeCell ref="B27:L27"/>
    <mergeCell ref="L21:L23"/>
    <mergeCell ref="B21:B23"/>
    <mergeCell ref="C21:C23"/>
    <mergeCell ref="D21:D23"/>
    <mergeCell ref="E21:E23"/>
    <mergeCell ref="F21:F23"/>
    <mergeCell ref="K21:K23"/>
    <mergeCell ref="B24:B26"/>
    <mergeCell ref="C24:C26"/>
    <mergeCell ref="D24:D26"/>
    <mergeCell ref="E24:E26"/>
    <mergeCell ref="F24:F26"/>
    <mergeCell ref="K24:K26"/>
    <mergeCell ref="L24:L26"/>
    <mergeCell ref="B11:L11"/>
    <mergeCell ref="B12:B14"/>
    <mergeCell ref="C12:C14"/>
    <mergeCell ref="D12:D14"/>
    <mergeCell ref="E12:E14"/>
    <mergeCell ref="F12:F14"/>
    <mergeCell ref="K12:K14"/>
    <mergeCell ref="L12:L14"/>
  </mergeCells>
  <phoneticPr fontId="19" type="noConversion"/>
  <conditionalFormatting sqref="K8">
    <cfRule type="cellIs" dxfId="380" priority="21" operator="equal">
      <formula>"Block"</formula>
    </cfRule>
    <cfRule type="cellIs" dxfId="379" priority="22" operator="equal">
      <formula>"."</formula>
    </cfRule>
    <cfRule type="cellIs" dxfId="378" priority="23" operator="equal">
      <formula>1</formula>
    </cfRule>
    <cfRule type="cellIs" dxfId="377" priority="24" operator="equal">
      <formula>0</formula>
    </cfRule>
  </conditionalFormatting>
  <conditionalFormatting sqref="K12">
    <cfRule type="cellIs" dxfId="376" priority="9" operator="equal">
      <formula>"Block"</formula>
    </cfRule>
    <cfRule type="cellIs" dxfId="375" priority="10" operator="equal">
      <formula>"."</formula>
    </cfRule>
    <cfRule type="cellIs" dxfId="374" priority="11" operator="equal">
      <formula>1</formula>
    </cfRule>
    <cfRule type="cellIs" dxfId="373" priority="12" operator="equal">
      <formula>0</formula>
    </cfRule>
  </conditionalFormatting>
  <conditionalFormatting sqref="K15">
    <cfRule type="cellIs" dxfId="372" priority="17" operator="equal">
      <formula>"Block"</formula>
    </cfRule>
    <cfRule type="cellIs" dxfId="371" priority="18" operator="equal">
      <formula>"."</formula>
    </cfRule>
    <cfRule type="cellIs" dxfId="370" priority="19" operator="equal">
      <formula>1</formula>
    </cfRule>
    <cfRule type="cellIs" dxfId="369" priority="20" operator="equal">
      <formula>0</formula>
    </cfRule>
  </conditionalFormatting>
  <conditionalFormatting sqref="K18">
    <cfRule type="cellIs" dxfId="368" priority="13" operator="equal">
      <formula>"Block"</formula>
    </cfRule>
    <cfRule type="cellIs" dxfId="367" priority="14" operator="equal">
      <formula>"."</formula>
    </cfRule>
    <cfRule type="cellIs" dxfId="366" priority="15" operator="equal">
      <formula>1</formula>
    </cfRule>
    <cfRule type="cellIs" dxfId="365" priority="16" operator="equal">
      <formula>0</formula>
    </cfRule>
  </conditionalFormatting>
  <conditionalFormatting sqref="K21">
    <cfRule type="cellIs" dxfId="364" priority="1" operator="equal">
      <formula>"Block"</formula>
    </cfRule>
    <cfRule type="cellIs" dxfId="363" priority="2" operator="equal">
      <formula>"."</formula>
    </cfRule>
    <cfRule type="cellIs" dxfId="362" priority="3" operator="equal">
      <formula>1</formula>
    </cfRule>
    <cfRule type="cellIs" dxfId="361" priority="4" operator="equal">
      <formula>0</formula>
    </cfRule>
  </conditionalFormatting>
  <conditionalFormatting sqref="K24">
    <cfRule type="cellIs" dxfId="360" priority="5" operator="equal">
      <formula>"Block"</formula>
    </cfRule>
    <cfRule type="cellIs" dxfId="359" priority="6" operator="equal">
      <formula>"."</formula>
    </cfRule>
    <cfRule type="cellIs" dxfId="358" priority="7" operator="equal">
      <formula>1</formula>
    </cfRule>
    <cfRule type="cellIs" dxfId="357" priority="8" operator="equal">
      <formula>0</formula>
    </cfRule>
  </conditionalFormatting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7256-DA15-49C6-BA7C-7D5DDBDFABC3}">
  <dimension ref="B1:R132"/>
  <sheetViews>
    <sheetView topLeftCell="A93" zoomScale="70" zoomScaleNormal="70" workbookViewId="0">
      <selection activeCell="L121" sqref="L121:L123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2.1796875" style="33" bestFit="1" customWidth="1"/>
    <col min="4" max="4" width="11.81640625" style="33" customWidth="1"/>
    <col min="5" max="5" width="32" style="33" customWidth="1"/>
    <col min="6" max="6" width="27.7265625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7" width="23.54296875" style="4" customWidth="1"/>
    <col min="18" max="16384" width="9.1796875" style="4"/>
  </cols>
  <sheetData>
    <row r="1" spans="2:18">
      <c r="O1" s="5"/>
    </row>
    <row r="2" spans="2:18" ht="21.75" customHeight="1">
      <c r="B2" s="276">
        <f>SUM(O3:O5)/O7</f>
        <v>0</v>
      </c>
      <c r="C2" s="47"/>
      <c r="D2" s="47"/>
      <c r="E2" s="47"/>
      <c r="F2" s="47"/>
      <c r="G2" s="60"/>
      <c r="H2" s="24" t="s">
        <v>40</v>
      </c>
      <c r="I2" s="63" t="e">
        <f>[2]Cover!B3</f>
        <v>#REF!</v>
      </c>
      <c r="J2" s="37"/>
      <c r="K2" s="16"/>
      <c r="L2" s="15"/>
      <c r="N2" s="56" t="s">
        <v>41</v>
      </c>
      <c r="O2" s="55">
        <f>SUM(O3:O5)/O7</f>
        <v>0</v>
      </c>
      <c r="Q2" s="84" t="s">
        <v>42</v>
      </c>
    </row>
    <row r="3" spans="2:18" ht="23.5">
      <c r="B3" s="277"/>
      <c r="C3" s="48"/>
      <c r="D3" s="48"/>
      <c r="E3" s="48"/>
      <c r="F3" s="48"/>
      <c r="G3" s="61"/>
      <c r="H3" s="23" t="s">
        <v>43</v>
      </c>
      <c r="I3" s="59" t="e">
        <f>[2]Cover!B11</f>
        <v>#REF!</v>
      </c>
      <c r="J3" s="38"/>
      <c r="K3" s="12"/>
      <c r="L3" s="13"/>
      <c r="N3" s="57" t="s">
        <v>44</v>
      </c>
      <c r="O3" s="58">
        <f>COUNTIF(K7:K127,1)</f>
        <v>0</v>
      </c>
      <c r="Q3" s="84" t="s">
        <v>45</v>
      </c>
      <c r="R3" s="85">
        <f>COUNTIF(D8:D114,"Positive")</f>
        <v>16</v>
      </c>
    </row>
    <row r="4" spans="2:18">
      <c r="B4" s="30" t="s">
        <v>46</v>
      </c>
      <c r="C4" s="49"/>
      <c r="D4" s="49"/>
      <c r="E4" s="49"/>
      <c r="F4" s="49"/>
      <c r="G4" s="62"/>
      <c r="H4" s="23" t="s">
        <v>47</v>
      </c>
      <c r="I4" s="50" t="s">
        <v>48</v>
      </c>
      <c r="J4" s="38"/>
      <c r="K4" s="12"/>
      <c r="L4" s="13"/>
      <c r="M4" s="22"/>
      <c r="N4" s="17" t="s">
        <v>49</v>
      </c>
      <c r="O4" s="18">
        <f>COUNTIF(K7:K127,0)</f>
        <v>0</v>
      </c>
      <c r="P4" s="5"/>
      <c r="Q4" s="84" t="s">
        <v>50</v>
      </c>
      <c r="R4" s="85">
        <f>COUNTIF(D8:D114,"Negative")</f>
        <v>5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COUNTIF(K8:K129,"Block")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60</v>
      </c>
      <c r="N6" s="19" t="s">
        <v>61</v>
      </c>
      <c r="O6" s="20">
        <f>COUNTIF(K7:K127,".")</f>
        <v>23</v>
      </c>
    </row>
    <row r="7" spans="2:18">
      <c r="B7" s="280" t="s">
        <v>62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N7" s="21" t="s">
        <v>63</v>
      </c>
      <c r="O7" s="21">
        <f>SUM(O3:O6)</f>
        <v>23</v>
      </c>
    </row>
    <row r="8" spans="2:18">
      <c r="B8" s="268" t="s">
        <v>263</v>
      </c>
      <c r="C8" s="310" t="s">
        <v>286</v>
      </c>
      <c r="D8" s="310" t="s">
        <v>66</v>
      </c>
      <c r="E8" s="310"/>
      <c r="F8" s="143" t="s">
        <v>287</v>
      </c>
      <c r="G8" s="66" t="s">
        <v>69</v>
      </c>
      <c r="H8" s="68" t="s">
        <v>288</v>
      </c>
      <c r="I8" s="116" t="s">
        <v>266</v>
      </c>
      <c r="J8" s="86"/>
      <c r="K8" s="281" t="s">
        <v>633</v>
      </c>
      <c r="L8" s="322"/>
    </row>
    <row r="9" spans="2:18">
      <c r="B9" s="268"/>
      <c r="C9" s="269"/>
      <c r="D9" s="269"/>
      <c r="E9" s="269"/>
      <c r="F9" s="144" t="s">
        <v>289</v>
      </c>
      <c r="G9" s="66" t="s">
        <v>72</v>
      </c>
      <c r="H9" s="68" t="s">
        <v>290</v>
      </c>
      <c r="I9" s="116" t="s">
        <v>268</v>
      </c>
      <c r="J9" s="86"/>
      <c r="K9" s="281"/>
      <c r="L9" s="322"/>
    </row>
    <row r="10" spans="2:18">
      <c r="B10" s="268"/>
      <c r="C10" s="269"/>
      <c r="D10" s="269"/>
      <c r="E10" s="269"/>
      <c r="F10" s="96" t="s">
        <v>291</v>
      </c>
      <c r="G10" s="66" t="s">
        <v>84</v>
      </c>
      <c r="H10" s="68" t="s">
        <v>292</v>
      </c>
      <c r="I10" s="116" t="s">
        <v>270</v>
      </c>
      <c r="J10" s="86"/>
      <c r="K10" s="281"/>
      <c r="L10" s="322"/>
    </row>
    <row r="11" spans="2:18" ht="29">
      <c r="B11" s="268"/>
      <c r="C11" s="269"/>
      <c r="D11" s="269"/>
      <c r="E11" s="269"/>
      <c r="F11" s="144"/>
      <c r="G11" s="66" t="s">
        <v>75</v>
      </c>
      <c r="H11" s="106" t="s">
        <v>293</v>
      </c>
      <c r="I11" s="118" t="s">
        <v>294</v>
      </c>
      <c r="J11" s="86"/>
      <c r="K11" s="281"/>
      <c r="L11" s="322"/>
    </row>
    <row r="12" spans="2:18" ht="29">
      <c r="B12" s="268"/>
      <c r="C12" s="269"/>
      <c r="D12" s="269"/>
      <c r="E12" s="269"/>
      <c r="F12" s="144"/>
      <c r="G12" s="66" t="s">
        <v>295</v>
      </c>
      <c r="H12" s="110" t="s">
        <v>296</v>
      </c>
      <c r="I12" s="115" t="s">
        <v>297</v>
      </c>
      <c r="J12" s="86"/>
      <c r="K12" s="281"/>
      <c r="L12" s="322"/>
    </row>
    <row r="13" spans="2:18" ht="29">
      <c r="B13" s="268"/>
      <c r="C13" s="269"/>
      <c r="D13" s="269"/>
      <c r="E13" s="269"/>
      <c r="F13" s="81"/>
      <c r="G13" s="66" t="s">
        <v>298</v>
      </c>
      <c r="H13" s="110" t="s">
        <v>299</v>
      </c>
      <c r="I13" s="115" t="s">
        <v>300</v>
      </c>
      <c r="J13" s="86"/>
      <c r="K13" s="281"/>
      <c r="L13" s="322"/>
    </row>
    <row r="14" spans="2:18" ht="29">
      <c r="B14" s="268"/>
      <c r="C14" s="269"/>
      <c r="D14" s="269"/>
      <c r="E14" s="269"/>
      <c r="F14" s="81"/>
      <c r="G14" s="66" t="s">
        <v>301</v>
      </c>
      <c r="H14" s="110" t="s">
        <v>302</v>
      </c>
      <c r="I14" s="115" t="s">
        <v>303</v>
      </c>
      <c r="J14" s="86"/>
      <c r="K14" s="281"/>
      <c r="L14" s="322"/>
    </row>
    <row r="15" spans="2:18">
      <c r="B15" s="268"/>
      <c r="C15" s="269"/>
      <c r="D15" s="269"/>
      <c r="E15" s="269"/>
      <c r="F15" s="81"/>
      <c r="G15" s="66" t="s">
        <v>304</v>
      </c>
      <c r="H15" s="110" t="s">
        <v>305</v>
      </c>
      <c r="I15" s="115"/>
      <c r="J15" s="86"/>
      <c r="K15" s="281"/>
      <c r="L15" s="322"/>
    </row>
    <row r="16" spans="2:18">
      <c r="B16" s="268"/>
      <c r="C16" s="269"/>
      <c r="D16" s="269"/>
      <c r="E16" s="269"/>
      <c r="F16" s="81"/>
      <c r="G16" s="66" t="s">
        <v>306</v>
      </c>
      <c r="H16" s="110" t="s">
        <v>307</v>
      </c>
      <c r="I16" s="115"/>
      <c r="J16" s="86"/>
      <c r="K16" s="281"/>
      <c r="L16" s="322"/>
    </row>
    <row r="17" spans="2:12">
      <c r="B17" s="268"/>
      <c r="C17" s="269"/>
      <c r="D17" s="269"/>
      <c r="E17" s="323"/>
      <c r="F17" s="81"/>
      <c r="G17" s="100" t="s">
        <v>308</v>
      </c>
      <c r="H17" s="145" t="s">
        <v>299</v>
      </c>
      <c r="I17" s="138"/>
      <c r="J17" s="86"/>
      <c r="K17" s="281"/>
      <c r="L17" s="322"/>
    </row>
    <row r="18" spans="2:12">
      <c r="B18" s="268" t="s">
        <v>263</v>
      </c>
      <c r="C18" s="269" t="s">
        <v>309</v>
      </c>
      <c r="D18" s="316" t="s">
        <v>66</v>
      </c>
      <c r="E18" s="269"/>
      <c r="F18" s="117" t="s">
        <v>287</v>
      </c>
      <c r="G18" s="125" t="s">
        <v>69</v>
      </c>
      <c r="H18" s="68" t="s">
        <v>288</v>
      </c>
      <c r="I18" s="69" t="s">
        <v>266</v>
      </c>
      <c r="J18" s="114"/>
      <c r="K18" s="290" t="s">
        <v>633</v>
      </c>
      <c r="L18" s="320"/>
    </row>
    <row r="19" spans="2:12">
      <c r="B19" s="268"/>
      <c r="C19" s="269"/>
      <c r="D19" s="316"/>
      <c r="E19" s="269"/>
      <c r="F19" s="117" t="s">
        <v>289</v>
      </c>
      <c r="G19" s="125" t="s">
        <v>72</v>
      </c>
      <c r="H19" s="68" t="s">
        <v>290</v>
      </c>
      <c r="I19" s="69" t="s">
        <v>268</v>
      </c>
      <c r="J19" s="194"/>
      <c r="K19" s="281"/>
      <c r="L19" s="320"/>
    </row>
    <row r="20" spans="2:12">
      <c r="B20" s="268"/>
      <c r="C20" s="269"/>
      <c r="D20" s="316"/>
      <c r="E20" s="269"/>
      <c r="F20" s="117" t="s">
        <v>310</v>
      </c>
      <c r="G20" s="125" t="s">
        <v>84</v>
      </c>
      <c r="H20" s="68" t="s">
        <v>292</v>
      </c>
      <c r="I20" s="69" t="s">
        <v>270</v>
      </c>
      <c r="J20" s="194"/>
      <c r="K20" s="281"/>
      <c r="L20" s="320"/>
    </row>
    <row r="21" spans="2:12" ht="29">
      <c r="B21" s="268"/>
      <c r="C21" s="269"/>
      <c r="D21" s="316"/>
      <c r="E21" s="269"/>
      <c r="F21" s="117"/>
      <c r="G21" s="125" t="s">
        <v>75</v>
      </c>
      <c r="H21" s="68" t="s">
        <v>293</v>
      </c>
      <c r="I21" s="69" t="s">
        <v>294</v>
      </c>
      <c r="J21" s="194"/>
      <c r="K21" s="281"/>
      <c r="L21" s="320"/>
    </row>
    <row r="22" spans="2:12" ht="29">
      <c r="B22" s="268"/>
      <c r="C22" s="269"/>
      <c r="D22" s="316"/>
      <c r="E22" s="269"/>
      <c r="F22" s="117"/>
      <c r="G22" s="125" t="s">
        <v>295</v>
      </c>
      <c r="H22" s="68" t="s">
        <v>296</v>
      </c>
      <c r="I22" s="69" t="s">
        <v>297</v>
      </c>
      <c r="J22" s="194"/>
      <c r="K22" s="281"/>
      <c r="L22" s="320"/>
    </row>
    <row r="23" spans="2:12" ht="29">
      <c r="B23" s="268"/>
      <c r="C23" s="269"/>
      <c r="D23" s="316"/>
      <c r="E23" s="269"/>
      <c r="F23" s="117"/>
      <c r="G23" s="125" t="s">
        <v>298</v>
      </c>
      <c r="H23" s="68" t="s">
        <v>299</v>
      </c>
      <c r="I23" s="69" t="s">
        <v>300</v>
      </c>
      <c r="J23" s="194"/>
      <c r="K23" s="281"/>
      <c r="L23" s="320"/>
    </row>
    <row r="24" spans="2:12" ht="29">
      <c r="B24" s="268"/>
      <c r="C24" s="269"/>
      <c r="D24" s="316"/>
      <c r="E24" s="269"/>
      <c r="F24" s="117"/>
      <c r="G24" s="125" t="s">
        <v>301</v>
      </c>
      <c r="H24" s="68" t="s">
        <v>302</v>
      </c>
      <c r="I24" s="69" t="s">
        <v>303</v>
      </c>
      <c r="J24" s="194"/>
      <c r="K24" s="281"/>
      <c r="L24" s="320"/>
    </row>
    <row r="25" spans="2:12">
      <c r="B25" s="268"/>
      <c r="C25" s="269"/>
      <c r="D25" s="316"/>
      <c r="E25" s="269"/>
      <c r="F25" s="117"/>
      <c r="G25" s="125" t="s">
        <v>304</v>
      </c>
      <c r="H25" s="68" t="s">
        <v>305</v>
      </c>
      <c r="I25" s="69"/>
      <c r="J25" s="194"/>
      <c r="K25" s="281"/>
      <c r="L25" s="320"/>
    </row>
    <row r="26" spans="2:12">
      <c r="B26" s="268"/>
      <c r="C26" s="269"/>
      <c r="D26" s="316"/>
      <c r="E26" s="269"/>
      <c r="F26" s="117"/>
      <c r="G26" s="125" t="s">
        <v>306</v>
      </c>
      <c r="H26" s="68" t="s">
        <v>307</v>
      </c>
      <c r="I26" s="69"/>
      <c r="J26" s="194"/>
      <c r="K26" s="281"/>
      <c r="L26" s="320"/>
    </row>
    <row r="27" spans="2:12">
      <c r="B27" s="268"/>
      <c r="C27" s="269"/>
      <c r="D27" s="316"/>
      <c r="E27" s="269"/>
      <c r="F27" s="117"/>
      <c r="G27" s="125" t="s">
        <v>308</v>
      </c>
      <c r="H27" s="68" t="s">
        <v>299</v>
      </c>
      <c r="I27" s="69"/>
      <c r="J27" s="195"/>
      <c r="K27" s="288"/>
      <c r="L27" s="321"/>
    </row>
    <row r="28" spans="2:12">
      <c r="B28" s="268" t="s">
        <v>263</v>
      </c>
      <c r="C28" s="310" t="s">
        <v>311</v>
      </c>
      <c r="D28" s="324" t="s">
        <v>66</v>
      </c>
      <c r="E28" s="269"/>
      <c r="F28" s="117" t="s">
        <v>287</v>
      </c>
      <c r="G28" s="125" t="s">
        <v>69</v>
      </c>
      <c r="H28" s="68" t="s">
        <v>288</v>
      </c>
      <c r="I28" s="116" t="s">
        <v>266</v>
      </c>
      <c r="J28" s="86"/>
      <c r="K28" s="281"/>
      <c r="L28" s="265" t="s">
        <v>312</v>
      </c>
    </row>
    <row r="29" spans="2:12">
      <c r="B29" s="268"/>
      <c r="C29" s="269"/>
      <c r="D29" s="316"/>
      <c r="E29" s="269"/>
      <c r="F29" s="117" t="s">
        <v>289</v>
      </c>
      <c r="G29" s="125" t="s">
        <v>72</v>
      </c>
      <c r="H29" s="68" t="s">
        <v>290</v>
      </c>
      <c r="I29" s="116" t="s">
        <v>268</v>
      </c>
      <c r="J29" s="86"/>
      <c r="K29" s="281"/>
      <c r="L29" s="265"/>
    </row>
    <row r="30" spans="2:12">
      <c r="B30" s="268"/>
      <c r="C30" s="269"/>
      <c r="D30" s="316"/>
      <c r="E30" s="269"/>
      <c r="F30" s="117" t="s">
        <v>291</v>
      </c>
      <c r="G30" s="125" t="s">
        <v>84</v>
      </c>
      <c r="H30" s="68" t="s">
        <v>292</v>
      </c>
      <c r="I30" s="116" t="s">
        <v>270</v>
      </c>
      <c r="J30" s="86"/>
      <c r="K30" s="281"/>
      <c r="L30" s="265"/>
    </row>
    <row r="31" spans="2:12" ht="29">
      <c r="B31" s="268"/>
      <c r="C31" s="269"/>
      <c r="D31" s="316"/>
      <c r="E31" s="269"/>
      <c r="F31" s="117"/>
      <c r="G31" s="125" t="s">
        <v>75</v>
      </c>
      <c r="H31" s="68" t="s">
        <v>293</v>
      </c>
      <c r="I31" s="116" t="s">
        <v>294</v>
      </c>
      <c r="J31" s="86"/>
      <c r="K31" s="281"/>
      <c r="L31" s="265"/>
    </row>
    <row r="32" spans="2:12" ht="29">
      <c r="B32" s="268"/>
      <c r="C32" s="269"/>
      <c r="D32" s="316"/>
      <c r="E32" s="269"/>
      <c r="F32" s="117"/>
      <c r="G32" s="125" t="s">
        <v>295</v>
      </c>
      <c r="H32" s="68" t="s">
        <v>296</v>
      </c>
      <c r="I32" s="116" t="s">
        <v>297</v>
      </c>
      <c r="J32" s="86"/>
      <c r="K32" s="281"/>
      <c r="L32" s="265"/>
    </row>
    <row r="33" spans="2:12" ht="29">
      <c r="B33" s="268"/>
      <c r="C33" s="269"/>
      <c r="D33" s="316"/>
      <c r="E33" s="269"/>
      <c r="F33" s="117"/>
      <c r="G33" s="125" t="s">
        <v>298</v>
      </c>
      <c r="H33" s="68" t="s">
        <v>299</v>
      </c>
      <c r="I33" s="116" t="s">
        <v>300</v>
      </c>
      <c r="J33" s="86"/>
      <c r="K33" s="281"/>
      <c r="L33" s="265"/>
    </row>
    <row r="34" spans="2:12" ht="29">
      <c r="B34" s="268"/>
      <c r="C34" s="269"/>
      <c r="D34" s="316"/>
      <c r="E34" s="269"/>
      <c r="F34" s="117"/>
      <c r="G34" s="125" t="s">
        <v>301</v>
      </c>
      <c r="H34" s="68" t="s">
        <v>302</v>
      </c>
      <c r="I34" s="116" t="s">
        <v>303</v>
      </c>
      <c r="J34" s="86"/>
      <c r="K34" s="281"/>
      <c r="L34" s="265"/>
    </row>
    <row r="35" spans="2:12">
      <c r="B35" s="268"/>
      <c r="C35" s="269"/>
      <c r="D35" s="316"/>
      <c r="E35" s="269"/>
      <c r="F35" s="117"/>
      <c r="G35" s="125" t="s">
        <v>304</v>
      </c>
      <c r="H35" s="68" t="s">
        <v>305</v>
      </c>
      <c r="I35" s="116"/>
      <c r="J35" s="86"/>
      <c r="K35" s="281"/>
      <c r="L35" s="265"/>
    </row>
    <row r="36" spans="2:12">
      <c r="B36" s="268"/>
      <c r="C36" s="269"/>
      <c r="D36" s="316"/>
      <c r="E36" s="269"/>
      <c r="F36" s="117"/>
      <c r="G36" s="125" t="s">
        <v>306</v>
      </c>
      <c r="H36" s="68" t="s">
        <v>307</v>
      </c>
      <c r="I36" s="116"/>
      <c r="J36" s="86"/>
      <c r="K36" s="281"/>
      <c r="L36" s="265"/>
    </row>
    <row r="37" spans="2:12">
      <c r="B37" s="326"/>
      <c r="C37" s="323"/>
      <c r="D37" s="325"/>
      <c r="E37" s="269"/>
      <c r="F37" s="117"/>
      <c r="G37" s="125" t="s">
        <v>308</v>
      </c>
      <c r="H37" s="68" t="s">
        <v>299</v>
      </c>
      <c r="I37" s="116"/>
      <c r="J37" s="86"/>
      <c r="K37" s="281"/>
      <c r="L37" s="265"/>
    </row>
    <row r="38" spans="2:12">
      <c r="B38" s="268" t="s">
        <v>263</v>
      </c>
      <c r="C38" s="269" t="s">
        <v>313</v>
      </c>
      <c r="D38" s="269" t="s">
        <v>66</v>
      </c>
      <c r="E38" s="310"/>
      <c r="F38" s="139" t="s">
        <v>287</v>
      </c>
      <c r="G38" s="188" t="s">
        <v>69</v>
      </c>
      <c r="H38" s="102" t="s">
        <v>288</v>
      </c>
      <c r="I38" s="146" t="s">
        <v>266</v>
      </c>
      <c r="J38" s="86"/>
      <c r="K38" s="281" t="s">
        <v>633</v>
      </c>
      <c r="L38" s="317"/>
    </row>
    <row r="39" spans="2:12">
      <c r="B39" s="268"/>
      <c r="C39" s="269"/>
      <c r="D39" s="269"/>
      <c r="E39" s="269"/>
      <c r="F39" s="117" t="s">
        <v>289</v>
      </c>
      <c r="G39" s="125" t="s">
        <v>72</v>
      </c>
      <c r="H39" s="68" t="s">
        <v>290</v>
      </c>
      <c r="I39" s="116" t="s">
        <v>268</v>
      </c>
      <c r="J39" s="86"/>
      <c r="K39" s="281"/>
      <c r="L39" s="317"/>
    </row>
    <row r="40" spans="2:12">
      <c r="B40" s="268"/>
      <c r="C40" s="269"/>
      <c r="D40" s="269"/>
      <c r="E40" s="269"/>
      <c r="F40" s="117" t="s">
        <v>310</v>
      </c>
      <c r="G40" s="125" t="s">
        <v>84</v>
      </c>
      <c r="H40" s="68" t="s">
        <v>292</v>
      </c>
      <c r="I40" s="116" t="s">
        <v>270</v>
      </c>
      <c r="J40" s="86"/>
      <c r="K40" s="281"/>
      <c r="L40" s="317"/>
    </row>
    <row r="41" spans="2:12" ht="29">
      <c r="B41" s="268"/>
      <c r="C41" s="269"/>
      <c r="D41" s="269"/>
      <c r="E41" s="269"/>
      <c r="F41" s="117"/>
      <c r="G41" s="125" t="s">
        <v>75</v>
      </c>
      <c r="H41" s="68" t="s">
        <v>293</v>
      </c>
      <c r="I41" s="116" t="s">
        <v>294</v>
      </c>
      <c r="J41" s="86"/>
      <c r="K41" s="281"/>
      <c r="L41" s="317"/>
    </row>
    <row r="42" spans="2:12" ht="29">
      <c r="B42" s="268"/>
      <c r="C42" s="269"/>
      <c r="D42" s="269"/>
      <c r="E42" s="269"/>
      <c r="F42" s="117"/>
      <c r="G42" s="125" t="s">
        <v>295</v>
      </c>
      <c r="H42" s="68" t="s">
        <v>296</v>
      </c>
      <c r="I42" s="116" t="s">
        <v>297</v>
      </c>
      <c r="J42" s="86">
        <v>0</v>
      </c>
      <c r="K42" s="281"/>
      <c r="L42" s="317"/>
    </row>
    <row r="43" spans="2:12" ht="29">
      <c r="B43" s="268"/>
      <c r="C43" s="269"/>
      <c r="D43" s="269"/>
      <c r="E43" s="269"/>
      <c r="F43" s="117"/>
      <c r="G43" s="125" t="s">
        <v>298</v>
      </c>
      <c r="H43" s="68" t="s">
        <v>299</v>
      </c>
      <c r="I43" s="116" t="s">
        <v>300</v>
      </c>
      <c r="J43" s="86"/>
      <c r="K43" s="281"/>
      <c r="L43" s="317"/>
    </row>
    <row r="44" spans="2:12" ht="29">
      <c r="B44" s="268"/>
      <c r="C44" s="269"/>
      <c r="D44" s="269"/>
      <c r="E44" s="269"/>
      <c r="F44" s="117"/>
      <c r="G44" s="125" t="s">
        <v>301</v>
      </c>
      <c r="H44" s="68" t="s">
        <v>302</v>
      </c>
      <c r="I44" s="116" t="s">
        <v>303</v>
      </c>
      <c r="J44" s="86"/>
      <c r="K44" s="281"/>
      <c r="L44" s="317"/>
    </row>
    <row r="45" spans="2:12">
      <c r="B45" s="268"/>
      <c r="C45" s="269"/>
      <c r="D45" s="269"/>
      <c r="E45" s="269"/>
      <c r="F45" s="117"/>
      <c r="G45" s="125" t="s">
        <v>304</v>
      </c>
      <c r="H45" s="68" t="s">
        <v>305</v>
      </c>
      <c r="I45" s="116"/>
      <c r="J45" s="86"/>
      <c r="K45" s="281"/>
      <c r="L45" s="317"/>
    </row>
    <row r="46" spans="2:12">
      <c r="B46" s="268"/>
      <c r="C46" s="269"/>
      <c r="D46" s="269"/>
      <c r="E46" s="269"/>
      <c r="F46" s="117"/>
      <c r="G46" s="125" t="s">
        <v>306</v>
      </c>
      <c r="H46" s="68" t="s">
        <v>307</v>
      </c>
      <c r="I46" s="116"/>
      <c r="J46" s="86"/>
      <c r="K46" s="281"/>
      <c r="L46" s="317"/>
    </row>
    <row r="47" spans="2:12">
      <c r="B47" s="268"/>
      <c r="C47" s="269"/>
      <c r="D47" s="269"/>
      <c r="E47" s="269"/>
      <c r="F47" s="117"/>
      <c r="G47" s="125" t="s">
        <v>308</v>
      </c>
      <c r="H47" s="68" t="s">
        <v>299</v>
      </c>
      <c r="I47" s="116"/>
      <c r="J47" s="86"/>
      <c r="K47" s="281"/>
      <c r="L47" s="317"/>
    </row>
    <row r="48" spans="2:12" ht="22" customHeight="1">
      <c r="B48" s="300" t="s">
        <v>314</v>
      </c>
      <c r="C48" s="301" t="s">
        <v>315</v>
      </c>
      <c r="D48" s="301" t="s">
        <v>66</v>
      </c>
      <c r="E48" s="301" t="s">
        <v>316</v>
      </c>
      <c r="F48" s="301"/>
      <c r="G48" s="97" t="s">
        <v>69</v>
      </c>
      <c r="H48" s="98" t="s">
        <v>317</v>
      </c>
      <c r="I48" s="99"/>
      <c r="J48" s="114"/>
      <c r="K48" s="312" t="s">
        <v>633</v>
      </c>
      <c r="L48" s="318"/>
    </row>
    <row r="49" spans="2:12">
      <c r="B49" s="300"/>
      <c r="C49" s="301"/>
      <c r="D49" s="301"/>
      <c r="E49" s="301"/>
      <c r="F49" s="301"/>
      <c r="G49" s="97" t="s">
        <v>72</v>
      </c>
      <c r="H49" s="98" t="s">
        <v>318</v>
      </c>
      <c r="I49" s="99"/>
      <c r="J49" s="114"/>
      <c r="K49" s="313"/>
      <c r="L49" s="319"/>
    </row>
    <row r="50" spans="2:12">
      <c r="B50" s="300"/>
      <c r="C50" s="301"/>
      <c r="D50" s="301"/>
      <c r="E50" s="301"/>
      <c r="F50" s="301"/>
      <c r="G50" s="97" t="s">
        <v>84</v>
      </c>
      <c r="H50" s="98"/>
      <c r="I50" s="99"/>
      <c r="J50" s="114"/>
      <c r="K50" s="314"/>
      <c r="L50" s="273"/>
    </row>
    <row r="51" spans="2:12" ht="29">
      <c r="B51" s="300" t="s">
        <v>314</v>
      </c>
      <c r="C51" s="301" t="s">
        <v>319</v>
      </c>
      <c r="D51" s="301" t="s">
        <v>66</v>
      </c>
      <c r="E51" s="301" t="s">
        <v>320</v>
      </c>
      <c r="F51" s="301"/>
      <c r="G51" s="97" t="s">
        <v>69</v>
      </c>
      <c r="H51" s="98" t="s">
        <v>321</v>
      </c>
      <c r="I51" s="99" t="s">
        <v>273</v>
      </c>
      <c r="J51" s="114"/>
      <c r="K51" s="312" t="s">
        <v>633</v>
      </c>
      <c r="L51" s="318"/>
    </row>
    <row r="52" spans="2:12">
      <c r="B52" s="300"/>
      <c r="C52" s="301"/>
      <c r="D52" s="301"/>
      <c r="E52" s="301"/>
      <c r="F52" s="301"/>
      <c r="G52" s="97" t="s">
        <v>72</v>
      </c>
      <c r="H52" s="98" t="s">
        <v>322</v>
      </c>
      <c r="I52" s="99" t="s">
        <v>323</v>
      </c>
      <c r="J52" s="114"/>
      <c r="K52" s="313"/>
      <c r="L52" s="319"/>
    </row>
    <row r="53" spans="2:12" ht="29">
      <c r="B53" s="300"/>
      <c r="C53" s="301"/>
      <c r="D53" s="301"/>
      <c r="E53" s="301"/>
      <c r="F53" s="301"/>
      <c r="G53" s="97" t="s">
        <v>84</v>
      </c>
      <c r="H53" s="98" t="s">
        <v>324</v>
      </c>
      <c r="I53" s="99" t="s">
        <v>325</v>
      </c>
      <c r="J53" s="114"/>
      <c r="K53" s="314"/>
      <c r="L53" s="273"/>
    </row>
    <row r="54" spans="2:12" ht="15" customHeight="1">
      <c r="B54" s="300" t="s">
        <v>314</v>
      </c>
      <c r="C54" s="301" t="s">
        <v>326</v>
      </c>
      <c r="D54" s="301" t="s">
        <v>66</v>
      </c>
      <c r="E54" s="301" t="s">
        <v>320</v>
      </c>
      <c r="F54" s="301"/>
      <c r="G54" s="97" t="s">
        <v>69</v>
      </c>
      <c r="H54" s="98" t="s">
        <v>321</v>
      </c>
      <c r="I54" s="99" t="s">
        <v>273</v>
      </c>
      <c r="J54" s="114"/>
      <c r="K54" s="312" t="s">
        <v>633</v>
      </c>
      <c r="L54" s="318"/>
    </row>
    <row r="55" spans="2:12">
      <c r="B55" s="300"/>
      <c r="C55" s="301"/>
      <c r="D55" s="301"/>
      <c r="E55" s="301"/>
      <c r="F55" s="301"/>
      <c r="G55" s="97" t="s">
        <v>72</v>
      </c>
      <c r="H55" s="98" t="s">
        <v>322</v>
      </c>
      <c r="I55" s="99" t="s">
        <v>323</v>
      </c>
      <c r="J55" s="114"/>
      <c r="K55" s="313"/>
      <c r="L55" s="319"/>
    </row>
    <row r="56" spans="2:12" ht="29">
      <c r="B56" s="300"/>
      <c r="C56" s="301"/>
      <c r="D56" s="301"/>
      <c r="E56" s="301"/>
      <c r="F56" s="301"/>
      <c r="G56" s="97" t="s">
        <v>84</v>
      </c>
      <c r="H56" s="98" t="s">
        <v>324</v>
      </c>
      <c r="I56" s="99" t="s">
        <v>325</v>
      </c>
      <c r="J56" s="114"/>
      <c r="K56" s="314"/>
      <c r="L56" s="273"/>
    </row>
    <row r="57" spans="2:12" ht="15" customHeight="1">
      <c r="B57" s="300" t="s">
        <v>314</v>
      </c>
      <c r="C57" s="301" t="s">
        <v>327</v>
      </c>
      <c r="D57" s="301" t="s">
        <v>66</v>
      </c>
      <c r="E57" s="301" t="s">
        <v>320</v>
      </c>
      <c r="F57" s="301"/>
      <c r="G57" s="97" t="s">
        <v>69</v>
      </c>
      <c r="H57" s="98" t="s">
        <v>321</v>
      </c>
      <c r="I57" s="99" t="s">
        <v>273</v>
      </c>
      <c r="J57" s="114"/>
      <c r="K57" s="312" t="s">
        <v>633</v>
      </c>
      <c r="L57" s="318"/>
    </row>
    <row r="58" spans="2:12">
      <c r="B58" s="300"/>
      <c r="C58" s="301"/>
      <c r="D58" s="301"/>
      <c r="E58" s="301"/>
      <c r="F58" s="301"/>
      <c r="G58" s="97" t="s">
        <v>72</v>
      </c>
      <c r="H58" s="98" t="s">
        <v>328</v>
      </c>
      <c r="I58" s="99" t="s">
        <v>323</v>
      </c>
      <c r="J58" s="114"/>
      <c r="K58" s="313"/>
      <c r="L58" s="319"/>
    </row>
    <row r="59" spans="2:12" ht="29">
      <c r="B59" s="300"/>
      <c r="C59" s="301"/>
      <c r="D59" s="301"/>
      <c r="E59" s="301"/>
      <c r="F59" s="301"/>
      <c r="G59" s="97" t="s">
        <v>84</v>
      </c>
      <c r="H59" s="98" t="s">
        <v>324</v>
      </c>
      <c r="I59" s="99" t="s">
        <v>325</v>
      </c>
      <c r="J59" s="114"/>
      <c r="K59" s="314"/>
      <c r="L59" s="273"/>
    </row>
    <row r="60" spans="2:12" ht="29">
      <c r="B60" s="300" t="s">
        <v>314</v>
      </c>
      <c r="C60" s="301" t="s">
        <v>329</v>
      </c>
      <c r="D60" s="301" t="s">
        <v>66</v>
      </c>
      <c r="E60" s="301" t="s">
        <v>320</v>
      </c>
      <c r="F60" s="301"/>
      <c r="G60" s="97" t="s">
        <v>69</v>
      </c>
      <c r="H60" s="98" t="s">
        <v>321</v>
      </c>
      <c r="I60" s="99" t="s">
        <v>273</v>
      </c>
      <c r="J60" s="114"/>
      <c r="K60" s="312" t="s">
        <v>633</v>
      </c>
      <c r="L60" s="318" t="s">
        <v>330</v>
      </c>
    </row>
    <row r="61" spans="2:12">
      <c r="B61" s="300"/>
      <c r="C61" s="301"/>
      <c r="D61" s="301"/>
      <c r="E61" s="301"/>
      <c r="F61" s="301"/>
      <c r="G61" s="97" t="s">
        <v>72</v>
      </c>
      <c r="H61" s="98" t="s">
        <v>328</v>
      </c>
      <c r="I61" s="99" t="s">
        <v>323</v>
      </c>
      <c r="J61" s="114"/>
      <c r="K61" s="313"/>
      <c r="L61" s="319"/>
    </row>
    <row r="62" spans="2:12" ht="29">
      <c r="B62" s="300"/>
      <c r="C62" s="301"/>
      <c r="D62" s="301"/>
      <c r="E62" s="301"/>
      <c r="F62" s="301"/>
      <c r="G62" s="97" t="s">
        <v>84</v>
      </c>
      <c r="H62" s="98" t="s">
        <v>324</v>
      </c>
      <c r="I62" s="99" t="s">
        <v>325</v>
      </c>
      <c r="J62" s="114"/>
      <c r="K62" s="314"/>
      <c r="L62" s="273"/>
    </row>
    <row r="63" spans="2:12" ht="29">
      <c r="B63" s="300" t="s">
        <v>314</v>
      </c>
      <c r="C63" s="315" t="s">
        <v>331</v>
      </c>
      <c r="D63" s="315" t="s">
        <v>66</v>
      </c>
      <c r="E63" s="315" t="s">
        <v>320</v>
      </c>
      <c r="F63" s="315"/>
      <c r="G63" s="97" t="s">
        <v>69</v>
      </c>
      <c r="H63" s="98" t="s">
        <v>321</v>
      </c>
      <c r="I63" s="99" t="s">
        <v>273</v>
      </c>
      <c r="J63" s="114"/>
      <c r="K63" s="312" t="s">
        <v>633</v>
      </c>
      <c r="L63" s="318"/>
    </row>
    <row r="64" spans="2:12">
      <c r="B64" s="300"/>
      <c r="C64" s="315"/>
      <c r="D64" s="315"/>
      <c r="E64" s="315"/>
      <c r="F64" s="315"/>
      <c r="G64" s="97" t="s">
        <v>72</v>
      </c>
      <c r="H64" s="98" t="s">
        <v>328</v>
      </c>
      <c r="I64" s="99" t="s">
        <v>323</v>
      </c>
      <c r="J64" s="114"/>
      <c r="K64" s="313"/>
      <c r="L64" s="319"/>
    </row>
    <row r="65" spans="2:12" ht="29">
      <c r="B65" s="300"/>
      <c r="C65" s="315"/>
      <c r="D65" s="315"/>
      <c r="E65" s="315"/>
      <c r="F65" s="315"/>
      <c r="G65" s="97" t="s">
        <v>84</v>
      </c>
      <c r="H65" s="98" t="s">
        <v>324</v>
      </c>
      <c r="I65" s="99" t="s">
        <v>325</v>
      </c>
      <c r="J65" s="114"/>
      <c r="K65" s="314"/>
      <c r="L65" s="273"/>
    </row>
    <row r="66" spans="2:12" ht="29">
      <c r="B66" s="300" t="s">
        <v>314</v>
      </c>
      <c r="C66" s="315" t="s">
        <v>332</v>
      </c>
      <c r="D66" s="315" t="s">
        <v>66</v>
      </c>
      <c r="E66" s="315" t="s">
        <v>320</v>
      </c>
      <c r="F66" s="315"/>
      <c r="G66" s="97" t="s">
        <v>69</v>
      </c>
      <c r="H66" s="98" t="s">
        <v>321</v>
      </c>
      <c r="I66" s="99" t="s">
        <v>273</v>
      </c>
      <c r="J66" s="114"/>
      <c r="K66" s="312" t="s">
        <v>633</v>
      </c>
      <c r="L66" s="318"/>
    </row>
    <row r="67" spans="2:12">
      <c r="B67" s="300"/>
      <c r="C67" s="315"/>
      <c r="D67" s="315"/>
      <c r="E67" s="315"/>
      <c r="F67" s="315"/>
      <c r="G67" s="97" t="s">
        <v>72</v>
      </c>
      <c r="H67" s="98" t="s">
        <v>328</v>
      </c>
      <c r="I67" s="99" t="s">
        <v>323</v>
      </c>
      <c r="J67" s="114"/>
      <c r="K67" s="313"/>
      <c r="L67" s="319"/>
    </row>
    <row r="68" spans="2:12" ht="29">
      <c r="B68" s="300"/>
      <c r="C68" s="315"/>
      <c r="D68" s="315"/>
      <c r="E68" s="315"/>
      <c r="F68" s="315"/>
      <c r="G68" s="97" t="s">
        <v>84</v>
      </c>
      <c r="H68" s="98" t="s">
        <v>324</v>
      </c>
      <c r="I68" s="99" t="s">
        <v>325</v>
      </c>
      <c r="J68" s="114"/>
      <c r="K68" s="314"/>
      <c r="L68" s="273"/>
    </row>
    <row r="69" spans="2:12" ht="29">
      <c r="B69" s="140" t="s">
        <v>333</v>
      </c>
      <c r="C69" s="315" t="s">
        <v>332</v>
      </c>
      <c r="D69" s="315" t="s">
        <v>66</v>
      </c>
      <c r="E69" s="315" t="s">
        <v>320</v>
      </c>
      <c r="F69" s="210" t="s">
        <v>334</v>
      </c>
      <c r="G69" s="97" t="s">
        <v>69</v>
      </c>
      <c r="H69" s="98" t="s">
        <v>321</v>
      </c>
      <c r="I69" s="99" t="s">
        <v>273</v>
      </c>
      <c r="J69" s="114"/>
      <c r="K69" s="209" t="s">
        <v>633</v>
      </c>
      <c r="L69" s="318"/>
    </row>
    <row r="70" spans="2:12">
      <c r="B70" s="140" t="s">
        <v>335</v>
      </c>
      <c r="C70" s="315"/>
      <c r="D70" s="315"/>
      <c r="E70" s="315"/>
      <c r="F70" s="210" t="s">
        <v>336</v>
      </c>
      <c r="G70" s="97" t="s">
        <v>72</v>
      </c>
      <c r="H70" s="98" t="s">
        <v>328</v>
      </c>
      <c r="I70" s="99" t="s">
        <v>323</v>
      </c>
      <c r="J70" s="114"/>
      <c r="K70" s="209" t="s">
        <v>633</v>
      </c>
      <c r="L70" s="319"/>
    </row>
    <row r="71" spans="2:12" ht="29">
      <c r="B71" s="140" t="s">
        <v>337</v>
      </c>
      <c r="C71" s="315"/>
      <c r="D71" s="315"/>
      <c r="E71" s="315"/>
      <c r="F71" s="210" t="s">
        <v>338</v>
      </c>
      <c r="G71" s="97" t="s">
        <v>84</v>
      </c>
      <c r="H71" s="98" t="s">
        <v>324</v>
      </c>
      <c r="I71" s="99" t="s">
        <v>325</v>
      </c>
      <c r="J71" s="114"/>
      <c r="K71" s="209" t="s">
        <v>633</v>
      </c>
      <c r="L71" s="273"/>
    </row>
    <row r="72" spans="2:12">
      <c r="B72" s="332" t="s">
        <v>88</v>
      </c>
      <c r="C72" s="332"/>
      <c r="D72" s="332"/>
      <c r="E72" s="332"/>
      <c r="F72" s="332"/>
      <c r="G72" s="332"/>
      <c r="H72" s="332"/>
      <c r="I72" s="332"/>
      <c r="J72" s="332"/>
      <c r="K72" s="332"/>
      <c r="L72" s="332"/>
    </row>
    <row r="73" spans="2:12">
      <c r="B73" s="300" t="s">
        <v>271</v>
      </c>
      <c r="C73" s="301" t="s">
        <v>339</v>
      </c>
      <c r="D73" s="301" t="s">
        <v>91</v>
      </c>
      <c r="E73" s="301"/>
      <c r="F73" s="301"/>
      <c r="G73" s="107" t="s">
        <v>69</v>
      </c>
      <c r="H73" s="68" t="s">
        <v>340</v>
      </c>
      <c r="I73" s="121" t="s">
        <v>341</v>
      </c>
      <c r="J73" s="86"/>
      <c r="K73" s="281" t="s">
        <v>633</v>
      </c>
      <c r="L73" s="265"/>
    </row>
    <row r="74" spans="2:12">
      <c r="B74" s="300"/>
      <c r="C74" s="301"/>
      <c r="D74" s="301"/>
      <c r="E74" s="301"/>
      <c r="F74" s="301"/>
      <c r="G74" s="107" t="s">
        <v>72</v>
      </c>
      <c r="H74" s="68" t="s">
        <v>342</v>
      </c>
      <c r="I74" s="121" t="s">
        <v>343</v>
      </c>
      <c r="J74" s="86"/>
      <c r="K74" s="281"/>
      <c r="L74" s="265"/>
    </row>
    <row r="75" spans="2:12">
      <c r="B75" s="283"/>
      <c r="C75" s="266"/>
      <c r="D75" s="266"/>
      <c r="E75" s="266"/>
      <c r="F75" s="266"/>
      <c r="G75" s="129"/>
      <c r="H75" s="106" t="s">
        <v>344</v>
      </c>
      <c r="I75" s="121" t="s">
        <v>345</v>
      </c>
      <c r="J75" s="86"/>
      <c r="K75" s="281"/>
      <c r="L75" s="265"/>
    </row>
    <row r="76" spans="2:12">
      <c r="B76" s="283"/>
      <c r="C76" s="266"/>
      <c r="D76" s="266"/>
      <c r="E76" s="266"/>
      <c r="F76" s="266"/>
      <c r="G76" s="129"/>
      <c r="H76" s="106" t="s">
        <v>346</v>
      </c>
      <c r="I76" s="121" t="s">
        <v>347</v>
      </c>
      <c r="J76" s="86"/>
      <c r="K76" s="281"/>
      <c r="L76" s="265"/>
    </row>
    <row r="77" spans="2:12" ht="29">
      <c r="B77" s="283"/>
      <c r="C77" s="266"/>
      <c r="D77" s="266"/>
      <c r="E77" s="266"/>
      <c r="F77" s="266"/>
      <c r="G77" s="129" t="s">
        <v>84</v>
      </c>
      <c r="H77" s="106" t="s">
        <v>348</v>
      </c>
      <c r="I77" s="121" t="s">
        <v>349</v>
      </c>
      <c r="J77" s="86"/>
      <c r="K77" s="281"/>
      <c r="L77" s="265"/>
    </row>
    <row r="78" spans="2:12">
      <c r="B78" s="268" t="s">
        <v>350</v>
      </c>
      <c r="C78" s="275" t="s">
        <v>351</v>
      </c>
      <c r="D78" s="269" t="s">
        <v>91</v>
      </c>
      <c r="E78" s="269"/>
      <c r="F78" s="269"/>
      <c r="G78" s="125" t="s">
        <v>69</v>
      </c>
      <c r="H78" s="126" t="s">
        <v>352</v>
      </c>
      <c r="I78" s="164" t="s">
        <v>80</v>
      </c>
      <c r="J78" s="120"/>
      <c r="K78" s="290"/>
      <c r="L78" s="331" t="s">
        <v>353</v>
      </c>
    </row>
    <row r="79" spans="2:12">
      <c r="B79" s="268"/>
      <c r="C79" s="275"/>
      <c r="D79" s="269"/>
      <c r="E79" s="269"/>
      <c r="F79" s="269"/>
      <c r="G79" s="125" t="s">
        <v>72</v>
      </c>
      <c r="H79" s="126" t="s">
        <v>82</v>
      </c>
      <c r="I79" s="164" t="s">
        <v>83</v>
      </c>
      <c r="J79" s="86"/>
      <c r="K79" s="281"/>
      <c r="L79" s="265"/>
    </row>
    <row r="80" spans="2:12">
      <c r="B80" s="268"/>
      <c r="C80" s="275"/>
      <c r="D80" s="269"/>
      <c r="E80" s="269"/>
      <c r="F80" s="269"/>
      <c r="G80" s="125" t="s">
        <v>84</v>
      </c>
      <c r="H80" s="126" t="s">
        <v>85</v>
      </c>
      <c r="I80" s="164" t="s">
        <v>83</v>
      </c>
      <c r="J80" s="86"/>
      <c r="K80" s="281"/>
      <c r="L80" s="265"/>
    </row>
    <row r="81" spans="2:12">
      <c r="B81" s="268"/>
      <c r="C81" s="275"/>
      <c r="D81" s="269"/>
      <c r="E81" s="269"/>
      <c r="F81" s="269"/>
      <c r="G81" s="125" t="s">
        <v>75</v>
      </c>
      <c r="H81" s="126" t="s">
        <v>86</v>
      </c>
      <c r="I81" s="165" t="s">
        <v>87</v>
      </c>
      <c r="J81" s="123"/>
      <c r="K81" s="281"/>
      <c r="L81" s="265"/>
    </row>
    <row r="82" spans="2:12" ht="15" customHeight="1">
      <c r="B82" s="268" t="s">
        <v>350</v>
      </c>
      <c r="C82" s="275" t="s">
        <v>354</v>
      </c>
      <c r="D82" s="330" t="s">
        <v>91</v>
      </c>
      <c r="E82" s="330" t="s">
        <v>320</v>
      </c>
      <c r="F82" s="330"/>
      <c r="G82" s="125" t="s">
        <v>69</v>
      </c>
      <c r="H82" s="126" t="s">
        <v>355</v>
      </c>
      <c r="I82" s="164" t="s">
        <v>356</v>
      </c>
      <c r="J82" s="86"/>
      <c r="K82" s="281" t="s">
        <v>633</v>
      </c>
      <c r="L82" s="265"/>
    </row>
    <row r="83" spans="2:12" ht="29">
      <c r="B83" s="268"/>
      <c r="C83" s="275"/>
      <c r="D83" s="330"/>
      <c r="E83" s="330"/>
      <c r="F83" s="330"/>
      <c r="G83" s="125" t="s">
        <v>72</v>
      </c>
      <c r="H83" s="126" t="s">
        <v>357</v>
      </c>
      <c r="I83" s="164" t="s">
        <v>358</v>
      </c>
      <c r="J83" s="86"/>
      <c r="K83" s="281"/>
      <c r="L83" s="265"/>
    </row>
    <row r="84" spans="2:12" ht="43.5">
      <c r="B84" s="268"/>
      <c r="C84" s="275"/>
      <c r="D84" s="330"/>
      <c r="E84" s="330"/>
      <c r="F84" s="330"/>
      <c r="G84" s="125" t="s">
        <v>84</v>
      </c>
      <c r="H84" s="126" t="s">
        <v>359</v>
      </c>
      <c r="I84" s="164" t="s">
        <v>360</v>
      </c>
      <c r="J84" s="86"/>
      <c r="K84" s="281"/>
      <c r="L84" s="265"/>
    </row>
    <row r="85" spans="2:12" ht="15" customHeight="1">
      <c r="B85" s="268" t="s">
        <v>350</v>
      </c>
      <c r="C85" s="275" t="s">
        <v>361</v>
      </c>
      <c r="D85" s="330" t="s">
        <v>91</v>
      </c>
      <c r="E85" s="330"/>
      <c r="F85" s="330"/>
      <c r="G85" s="125" t="s">
        <v>69</v>
      </c>
      <c r="H85" s="126" t="s">
        <v>355</v>
      </c>
      <c r="I85" s="164" t="s">
        <v>356</v>
      </c>
      <c r="J85" s="86"/>
      <c r="K85" s="281" t="s">
        <v>633</v>
      </c>
      <c r="L85" s="265"/>
    </row>
    <row r="86" spans="2:12" ht="29">
      <c r="B86" s="268"/>
      <c r="C86" s="275"/>
      <c r="D86" s="330"/>
      <c r="E86" s="330"/>
      <c r="F86" s="330"/>
      <c r="G86" s="125" t="s">
        <v>72</v>
      </c>
      <c r="H86" s="126" t="s">
        <v>357</v>
      </c>
      <c r="I86" s="164" t="s">
        <v>358</v>
      </c>
      <c r="J86" s="86"/>
      <c r="K86" s="281"/>
      <c r="L86" s="265"/>
    </row>
    <row r="87" spans="2:12" ht="29">
      <c r="B87" s="268"/>
      <c r="C87" s="275"/>
      <c r="D87" s="330"/>
      <c r="E87" s="330"/>
      <c r="F87" s="330"/>
      <c r="G87" s="125" t="s">
        <v>84</v>
      </c>
      <c r="H87" s="126" t="s">
        <v>362</v>
      </c>
      <c r="I87" s="164" t="s">
        <v>363</v>
      </c>
      <c r="J87" s="86"/>
      <c r="K87" s="281"/>
      <c r="L87" s="265"/>
    </row>
    <row r="88" spans="2:12" ht="15" customHeight="1">
      <c r="B88" s="212" t="s">
        <v>350</v>
      </c>
      <c r="C88" s="214" t="s">
        <v>364</v>
      </c>
      <c r="D88" s="137" t="s">
        <v>91</v>
      </c>
      <c r="E88" s="80"/>
      <c r="F88" s="137" t="s">
        <v>365</v>
      </c>
      <c r="G88" s="66" t="s">
        <v>69</v>
      </c>
      <c r="H88" s="108" t="s">
        <v>366</v>
      </c>
      <c r="I88" s="122" t="s">
        <v>367</v>
      </c>
      <c r="J88" s="86"/>
      <c r="K88" s="211" t="s">
        <v>633</v>
      </c>
      <c r="L88" s="67"/>
    </row>
    <row r="89" spans="2:12" ht="15" customHeight="1">
      <c r="B89" s="300" t="s">
        <v>368</v>
      </c>
      <c r="C89" s="266" t="s">
        <v>369</v>
      </c>
      <c r="D89" s="266" t="s">
        <v>66</v>
      </c>
      <c r="E89" s="266" t="s">
        <v>316</v>
      </c>
      <c r="F89" s="301"/>
      <c r="G89" s="107" t="s">
        <v>69</v>
      </c>
      <c r="H89" s="108" t="s">
        <v>302</v>
      </c>
      <c r="I89" s="121" t="s">
        <v>273</v>
      </c>
      <c r="J89" s="86"/>
      <c r="K89" s="281" t="s">
        <v>633</v>
      </c>
      <c r="L89" s="265"/>
    </row>
    <row r="90" spans="2:12">
      <c r="B90" s="300"/>
      <c r="C90" s="329"/>
      <c r="D90" s="329"/>
      <c r="E90" s="329"/>
      <c r="F90" s="301"/>
      <c r="G90" s="107" t="s">
        <v>72</v>
      </c>
      <c r="H90" s="108" t="s">
        <v>370</v>
      </c>
      <c r="I90" s="121" t="s">
        <v>323</v>
      </c>
      <c r="J90" s="86"/>
      <c r="K90" s="281"/>
      <c r="L90" s="265"/>
    </row>
    <row r="91" spans="2:12">
      <c r="B91" s="300"/>
      <c r="C91" s="329"/>
      <c r="D91" s="329"/>
      <c r="E91" s="329"/>
      <c r="F91" s="301"/>
      <c r="G91" s="107" t="s">
        <v>84</v>
      </c>
      <c r="H91" s="108" t="s">
        <v>371</v>
      </c>
      <c r="I91" s="121" t="s">
        <v>372</v>
      </c>
      <c r="J91" s="86"/>
      <c r="K91" s="281"/>
      <c r="L91" s="265"/>
    </row>
    <row r="92" spans="2:12">
      <c r="B92" s="300"/>
      <c r="C92" s="329"/>
      <c r="D92" s="329"/>
      <c r="E92" s="329"/>
      <c r="F92" s="301"/>
      <c r="G92" s="107" t="s">
        <v>75</v>
      </c>
      <c r="H92" s="112" t="s">
        <v>373</v>
      </c>
      <c r="I92" s="121" t="s">
        <v>372</v>
      </c>
      <c r="J92" s="86"/>
      <c r="K92" s="281"/>
      <c r="L92" s="265"/>
    </row>
    <row r="93" spans="2:12">
      <c r="B93" s="300"/>
      <c r="C93" s="329"/>
      <c r="D93" s="329"/>
      <c r="E93" s="329"/>
      <c r="F93" s="301"/>
      <c r="G93" s="66" t="s">
        <v>295</v>
      </c>
      <c r="H93" s="112" t="s">
        <v>374</v>
      </c>
      <c r="I93" s="122" t="s">
        <v>375</v>
      </c>
      <c r="J93" s="86"/>
      <c r="K93" s="281"/>
      <c r="L93" s="265"/>
    </row>
    <row r="94" spans="2:12">
      <c r="B94" s="300"/>
      <c r="C94" s="267"/>
      <c r="D94" s="267"/>
      <c r="E94" s="267"/>
      <c r="F94" s="301"/>
      <c r="G94" s="66" t="s">
        <v>298</v>
      </c>
      <c r="H94" s="98" t="s">
        <v>376</v>
      </c>
      <c r="I94" s="122" t="s">
        <v>377</v>
      </c>
      <c r="J94" s="119"/>
      <c r="K94" s="288"/>
      <c r="L94" s="308"/>
    </row>
    <row r="95" spans="2:12" ht="15" customHeight="1">
      <c r="B95" s="300" t="s">
        <v>350</v>
      </c>
      <c r="C95" s="266" t="s">
        <v>378</v>
      </c>
      <c r="D95" s="266" t="s">
        <v>66</v>
      </c>
      <c r="E95" s="266" t="s">
        <v>316</v>
      </c>
      <c r="F95" s="301"/>
      <c r="G95" s="107" t="s">
        <v>69</v>
      </c>
      <c r="H95" s="108" t="s">
        <v>302</v>
      </c>
      <c r="I95" s="121" t="s">
        <v>273</v>
      </c>
      <c r="J95" s="86"/>
      <c r="K95" s="281"/>
      <c r="L95" s="265" t="s">
        <v>379</v>
      </c>
    </row>
    <row r="96" spans="2:12">
      <c r="B96" s="300"/>
      <c r="C96" s="329"/>
      <c r="D96" s="329"/>
      <c r="E96" s="329"/>
      <c r="F96" s="301"/>
      <c r="G96" s="107" t="s">
        <v>72</v>
      </c>
      <c r="H96" s="108" t="s">
        <v>370</v>
      </c>
      <c r="I96" s="121" t="s">
        <v>323</v>
      </c>
      <c r="J96" s="86"/>
      <c r="K96" s="281"/>
      <c r="L96" s="265"/>
    </row>
    <row r="97" spans="2:12">
      <c r="B97" s="300"/>
      <c r="C97" s="329"/>
      <c r="D97" s="329"/>
      <c r="E97" s="329"/>
      <c r="F97" s="301"/>
      <c r="G97" s="107" t="s">
        <v>84</v>
      </c>
      <c r="H97" s="108" t="s">
        <v>380</v>
      </c>
      <c r="I97" s="121" t="s">
        <v>372</v>
      </c>
      <c r="J97" s="86"/>
      <c r="K97" s="281"/>
      <c r="L97" s="265"/>
    </row>
    <row r="98" spans="2:12">
      <c r="B98" s="300"/>
      <c r="C98" s="329"/>
      <c r="D98" s="329"/>
      <c r="E98" s="329"/>
      <c r="F98" s="301"/>
      <c r="G98" s="107" t="s">
        <v>75</v>
      </c>
      <c r="H98" s="112" t="s">
        <v>381</v>
      </c>
      <c r="I98" s="121" t="s">
        <v>372</v>
      </c>
      <c r="J98" s="86"/>
      <c r="K98" s="281"/>
      <c r="L98" s="265"/>
    </row>
    <row r="99" spans="2:12">
      <c r="B99" s="300"/>
      <c r="C99" s="329"/>
      <c r="D99" s="329"/>
      <c r="E99" s="329"/>
      <c r="F99" s="301"/>
      <c r="G99" s="107" t="s">
        <v>295</v>
      </c>
      <c r="H99" s="112" t="s">
        <v>382</v>
      </c>
      <c r="I99" s="121" t="s">
        <v>372</v>
      </c>
      <c r="J99" s="86"/>
      <c r="K99" s="281"/>
      <c r="L99" s="265"/>
    </row>
    <row r="100" spans="2:12">
      <c r="B100" s="300"/>
      <c r="C100" s="329"/>
      <c r="D100" s="329"/>
      <c r="E100" s="329"/>
      <c r="F100" s="301"/>
      <c r="G100" s="107" t="s">
        <v>298</v>
      </c>
      <c r="H100" s="112" t="s">
        <v>383</v>
      </c>
      <c r="I100" s="121" t="s">
        <v>372</v>
      </c>
      <c r="J100" s="86"/>
      <c r="K100" s="281"/>
      <c r="L100" s="265"/>
    </row>
    <row r="101" spans="2:12">
      <c r="B101" s="300"/>
      <c r="C101" s="329"/>
      <c r="D101" s="329"/>
      <c r="E101" s="329"/>
      <c r="F101" s="301"/>
      <c r="G101" s="107" t="s">
        <v>304</v>
      </c>
      <c r="H101" s="112" t="s">
        <v>374</v>
      </c>
      <c r="I101" s="122" t="s">
        <v>375</v>
      </c>
      <c r="J101" s="86"/>
      <c r="K101" s="281"/>
      <c r="L101" s="265"/>
    </row>
    <row r="102" spans="2:12">
      <c r="B102" s="283"/>
      <c r="C102" s="329"/>
      <c r="D102" s="329"/>
      <c r="E102" s="329"/>
      <c r="F102" s="266"/>
      <c r="G102" s="129" t="s">
        <v>306</v>
      </c>
      <c r="H102" s="101" t="s">
        <v>376</v>
      </c>
      <c r="I102" s="124" t="s">
        <v>377</v>
      </c>
      <c r="J102" s="86"/>
      <c r="K102" s="281"/>
      <c r="L102" s="265"/>
    </row>
    <row r="103" spans="2:12" ht="15" customHeight="1">
      <c r="B103" s="268" t="s">
        <v>384</v>
      </c>
      <c r="C103" s="269" t="s">
        <v>385</v>
      </c>
      <c r="D103" s="269" t="s">
        <v>66</v>
      </c>
      <c r="E103" s="269" t="s">
        <v>316</v>
      </c>
      <c r="F103" s="269"/>
      <c r="G103" s="125" t="s">
        <v>69</v>
      </c>
      <c r="H103" s="126" t="s">
        <v>302</v>
      </c>
      <c r="I103" s="189" t="s">
        <v>273</v>
      </c>
      <c r="J103" s="86"/>
      <c r="K103" s="281"/>
      <c r="L103" s="265"/>
    </row>
    <row r="104" spans="2:12">
      <c r="B104" s="268"/>
      <c r="C104" s="269"/>
      <c r="D104" s="269"/>
      <c r="E104" s="269"/>
      <c r="F104" s="269"/>
      <c r="G104" s="125" t="s">
        <v>72</v>
      </c>
      <c r="H104" s="126" t="s">
        <v>370</v>
      </c>
      <c r="I104" s="189" t="s">
        <v>323</v>
      </c>
      <c r="J104" s="86"/>
      <c r="K104" s="281"/>
      <c r="L104" s="265"/>
    </row>
    <row r="105" spans="2:12">
      <c r="B105" s="268"/>
      <c r="C105" s="269"/>
      <c r="D105" s="269"/>
      <c r="E105" s="269"/>
      <c r="F105" s="269"/>
      <c r="G105" s="125" t="s">
        <v>295</v>
      </c>
      <c r="H105" s="128" t="s">
        <v>374</v>
      </c>
      <c r="I105" s="189" t="s">
        <v>375</v>
      </c>
      <c r="J105" s="86"/>
      <c r="K105" s="281"/>
      <c r="L105" s="265"/>
    </row>
    <row r="106" spans="2:12">
      <c r="B106" s="268"/>
      <c r="C106" s="269"/>
      <c r="D106" s="269"/>
      <c r="E106" s="269"/>
      <c r="F106" s="269"/>
      <c r="G106" s="125" t="s">
        <v>298</v>
      </c>
      <c r="H106" s="126" t="s">
        <v>376</v>
      </c>
      <c r="I106" s="189" t="s">
        <v>377</v>
      </c>
      <c r="J106" s="86"/>
      <c r="K106" s="281"/>
      <c r="L106" s="265"/>
    </row>
    <row r="107" spans="2:12" ht="15" customHeight="1">
      <c r="B107" s="268" t="s">
        <v>271</v>
      </c>
      <c r="C107" s="269" t="s">
        <v>386</v>
      </c>
      <c r="D107" s="269" t="s">
        <v>66</v>
      </c>
      <c r="E107" s="269" t="s">
        <v>316</v>
      </c>
      <c r="F107" s="269"/>
      <c r="G107" s="125" t="s">
        <v>69</v>
      </c>
      <c r="H107" s="126" t="s">
        <v>302</v>
      </c>
      <c r="I107" s="189" t="s">
        <v>273</v>
      </c>
      <c r="J107" s="86"/>
      <c r="K107" s="281" t="s">
        <v>633</v>
      </c>
      <c r="L107" s="265" t="s">
        <v>387</v>
      </c>
    </row>
    <row r="108" spans="2:12">
      <c r="B108" s="268"/>
      <c r="C108" s="269"/>
      <c r="D108" s="269"/>
      <c r="E108" s="269"/>
      <c r="F108" s="269"/>
      <c r="G108" s="125" t="s">
        <v>72</v>
      </c>
      <c r="H108" s="126" t="s">
        <v>370</v>
      </c>
      <c r="I108" s="189" t="s">
        <v>323</v>
      </c>
      <c r="J108" s="86"/>
      <c r="K108" s="281"/>
      <c r="L108" s="265"/>
    </row>
    <row r="109" spans="2:12">
      <c r="B109" s="268"/>
      <c r="C109" s="269"/>
      <c r="D109" s="269"/>
      <c r="E109" s="269"/>
      <c r="F109" s="269"/>
      <c r="G109" s="125" t="s">
        <v>84</v>
      </c>
      <c r="H109" s="126" t="s">
        <v>380</v>
      </c>
      <c r="I109" s="189" t="s">
        <v>372</v>
      </c>
      <c r="J109" s="86"/>
      <c r="K109" s="281"/>
      <c r="L109" s="265"/>
    </row>
    <row r="110" spans="2:12">
      <c r="B110" s="268"/>
      <c r="C110" s="269"/>
      <c r="D110" s="269"/>
      <c r="E110" s="269"/>
      <c r="F110" s="269"/>
      <c r="G110" s="125" t="s">
        <v>75</v>
      </c>
      <c r="H110" s="128" t="s">
        <v>381</v>
      </c>
      <c r="I110" s="189" t="s">
        <v>372</v>
      </c>
      <c r="J110" s="86"/>
      <c r="K110" s="281"/>
      <c r="L110" s="265"/>
    </row>
    <row r="111" spans="2:12">
      <c r="B111" s="268"/>
      <c r="C111" s="269"/>
      <c r="D111" s="269"/>
      <c r="E111" s="269"/>
      <c r="F111" s="269"/>
      <c r="G111" s="125" t="s">
        <v>295</v>
      </c>
      <c r="H111" s="128" t="s">
        <v>382</v>
      </c>
      <c r="I111" s="189" t="s">
        <v>372</v>
      </c>
      <c r="J111" s="86"/>
      <c r="K111" s="281"/>
      <c r="L111" s="265"/>
    </row>
    <row r="112" spans="2:12">
      <c r="B112" s="268"/>
      <c r="C112" s="269"/>
      <c r="D112" s="269"/>
      <c r="E112" s="269"/>
      <c r="F112" s="269"/>
      <c r="G112" s="125" t="s">
        <v>298</v>
      </c>
      <c r="H112" s="128" t="s">
        <v>383</v>
      </c>
      <c r="I112" s="189" t="s">
        <v>372</v>
      </c>
      <c r="J112" s="86"/>
      <c r="K112" s="281"/>
      <c r="L112" s="265"/>
    </row>
    <row r="113" spans="2:12">
      <c r="B113" s="268"/>
      <c r="C113" s="269"/>
      <c r="D113" s="269"/>
      <c r="E113" s="269"/>
      <c r="F113" s="269"/>
      <c r="G113" s="125" t="s">
        <v>304</v>
      </c>
      <c r="H113" s="128" t="s">
        <v>374</v>
      </c>
      <c r="I113" s="189" t="s">
        <v>375</v>
      </c>
      <c r="J113" s="86"/>
      <c r="K113" s="281"/>
      <c r="L113" s="265"/>
    </row>
    <row r="114" spans="2:12">
      <c r="B114" s="268"/>
      <c r="C114" s="323"/>
      <c r="D114" s="323"/>
      <c r="E114" s="323"/>
      <c r="F114" s="323"/>
      <c r="G114" s="130" t="s">
        <v>306</v>
      </c>
      <c r="H114" s="131" t="s">
        <v>376</v>
      </c>
      <c r="I114" s="190" t="s">
        <v>377</v>
      </c>
      <c r="J114" s="86"/>
      <c r="K114" s="288"/>
      <c r="L114" s="308"/>
    </row>
    <row r="115" spans="2:12">
      <c r="B115" s="326"/>
      <c r="C115" s="269" t="s">
        <v>388</v>
      </c>
      <c r="D115" s="269" t="s">
        <v>91</v>
      </c>
      <c r="E115" s="269" t="s">
        <v>316</v>
      </c>
      <c r="F115" s="117" t="s">
        <v>389</v>
      </c>
      <c r="G115" s="125" t="s">
        <v>69</v>
      </c>
      <c r="H115" s="126" t="s">
        <v>390</v>
      </c>
      <c r="I115" s="203" t="s">
        <v>391</v>
      </c>
      <c r="J115" s="113"/>
      <c r="K115" s="281" t="s">
        <v>633</v>
      </c>
      <c r="L115" s="265"/>
    </row>
    <row r="116" spans="2:12">
      <c r="B116" s="327"/>
      <c r="C116" s="269"/>
      <c r="D116" s="269"/>
      <c r="E116" s="269"/>
      <c r="F116" s="117"/>
      <c r="G116" s="125" t="s">
        <v>72</v>
      </c>
      <c r="H116" s="126" t="s">
        <v>392</v>
      </c>
      <c r="I116" s="204" t="s">
        <v>393</v>
      </c>
      <c r="J116" s="194"/>
      <c r="K116" s="281"/>
      <c r="L116" s="265"/>
    </row>
    <row r="117" spans="2:12">
      <c r="B117" s="328"/>
      <c r="C117" s="269"/>
      <c r="D117" s="269"/>
      <c r="E117" s="269"/>
      <c r="F117" s="117"/>
      <c r="G117" s="125" t="s">
        <v>84</v>
      </c>
      <c r="H117" s="126" t="s">
        <v>394</v>
      </c>
      <c r="I117" s="204" t="s">
        <v>395</v>
      </c>
      <c r="J117" s="194"/>
      <c r="K117" s="281"/>
      <c r="L117" s="265"/>
    </row>
    <row r="118" spans="2:12">
      <c r="B118" s="326"/>
      <c r="C118" s="269" t="s">
        <v>396</v>
      </c>
      <c r="D118" s="269" t="s">
        <v>91</v>
      </c>
      <c r="E118" s="269" t="s">
        <v>316</v>
      </c>
      <c r="F118" s="117"/>
      <c r="G118" s="125" t="s">
        <v>69</v>
      </c>
      <c r="H118" s="126" t="s">
        <v>390</v>
      </c>
      <c r="I118" s="203" t="s">
        <v>391</v>
      </c>
      <c r="J118" s="113"/>
      <c r="K118" s="281" t="s">
        <v>633</v>
      </c>
      <c r="L118" s="265" t="s">
        <v>397</v>
      </c>
    </row>
    <row r="119" spans="2:12">
      <c r="B119" s="327"/>
      <c r="C119" s="269"/>
      <c r="D119" s="269"/>
      <c r="E119" s="269"/>
      <c r="F119" s="117"/>
      <c r="G119" s="125" t="s">
        <v>72</v>
      </c>
      <c r="H119" s="126" t="s">
        <v>392</v>
      </c>
      <c r="I119" s="204" t="s">
        <v>393</v>
      </c>
      <c r="J119" s="194"/>
      <c r="K119" s="281"/>
      <c r="L119" s="265"/>
    </row>
    <row r="120" spans="2:12">
      <c r="B120" s="328"/>
      <c r="C120" s="269"/>
      <c r="D120" s="269"/>
      <c r="E120" s="269"/>
      <c r="F120" s="117"/>
      <c r="G120" s="125" t="s">
        <v>84</v>
      </c>
      <c r="H120" s="126" t="s">
        <v>394</v>
      </c>
      <c r="I120" s="204" t="s">
        <v>395</v>
      </c>
      <c r="J120" s="194"/>
      <c r="K120" s="281"/>
      <c r="L120" s="265"/>
    </row>
    <row r="121" spans="2:12">
      <c r="B121" s="326"/>
      <c r="C121" s="269" t="s">
        <v>398</v>
      </c>
      <c r="D121" s="269" t="s">
        <v>91</v>
      </c>
      <c r="E121" s="269" t="s">
        <v>316</v>
      </c>
      <c r="F121" s="117"/>
      <c r="G121" s="125" t="s">
        <v>69</v>
      </c>
      <c r="H121" s="126" t="s">
        <v>390</v>
      </c>
      <c r="I121" s="203" t="s">
        <v>391</v>
      </c>
      <c r="J121" s="113"/>
      <c r="K121" s="281" t="s">
        <v>633</v>
      </c>
      <c r="L121" s="265" t="s">
        <v>397</v>
      </c>
    </row>
    <row r="122" spans="2:12">
      <c r="B122" s="327"/>
      <c r="C122" s="269"/>
      <c r="D122" s="269"/>
      <c r="E122" s="269"/>
      <c r="F122" s="117"/>
      <c r="G122" s="125" t="s">
        <v>72</v>
      </c>
      <c r="H122" s="126" t="s">
        <v>392</v>
      </c>
      <c r="I122" s="204" t="s">
        <v>393</v>
      </c>
      <c r="J122" s="194"/>
      <c r="K122" s="281"/>
      <c r="L122" s="265"/>
    </row>
    <row r="123" spans="2:12">
      <c r="B123" s="328"/>
      <c r="C123" s="269"/>
      <c r="D123" s="269"/>
      <c r="E123" s="269"/>
      <c r="F123" s="117"/>
      <c r="G123" s="125" t="s">
        <v>84</v>
      </c>
      <c r="H123" s="126" t="s">
        <v>394</v>
      </c>
      <c r="I123" s="204" t="s">
        <v>395</v>
      </c>
      <c r="J123" s="194"/>
      <c r="K123" s="281"/>
      <c r="L123" s="265"/>
    </row>
    <row r="124" spans="2:12">
      <c r="B124" s="326"/>
      <c r="C124" s="310" t="s">
        <v>399</v>
      </c>
      <c r="D124" s="310" t="s">
        <v>91</v>
      </c>
      <c r="E124" s="311" t="s">
        <v>316</v>
      </c>
      <c r="F124" s="139"/>
      <c r="G124" s="205" t="s">
        <v>69</v>
      </c>
      <c r="H124" s="206" t="s">
        <v>390</v>
      </c>
      <c r="I124" s="203" t="s">
        <v>391</v>
      </c>
      <c r="J124" s="113"/>
      <c r="K124" s="281" t="s">
        <v>633</v>
      </c>
      <c r="L124" s="265" t="s">
        <v>397</v>
      </c>
    </row>
    <row r="125" spans="2:12">
      <c r="B125" s="327"/>
      <c r="C125" s="269"/>
      <c r="D125" s="269"/>
      <c r="E125" s="311"/>
      <c r="F125" s="117"/>
      <c r="G125" s="125" t="s">
        <v>72</v>
      </c>
      <c r="H125" s="126" t="s">
        <v>392</v>
      </c>
      <c r="I125" s="204" t="s">
        <v>393</v>
      </c>
      <c r="J125" s="194"/>
      <c r="K125" s="281"/>
      <c r="L125" s="265"/>
    </row>
    <row r="126" spans="2:12">
      <c r="B126" s="328"/>
      <c r="C126" s="269"/>
      <c r="D126" s="269"/>
      <c r="E126" s="310"/>
      <c r="F126" s="117"/>
      <c r="G126" s="125" t="s">
        <v>84</v>
      </c>
      <c r="H126" s="126" t="s">
        <v>394</v>
      </c>
      <c r="I126" s="204" t="s">
        <v>395</v>
      </c>
      <c r="J126" s="194"/>
      <c r="K126" s="281"/>
      <c r="L126" s="265"/>
    </row>
    <row r="127" spans="2:12">
      <c r="B127" s="305"/>
      <c r="C127" s="306"/>
      <c r="D127" s="306"/>
      <c r="E127" s="306"/>
      <c r="F127" s="306"/>
      <c r="G127" s="306"/>
      <c r="H127" s="306"/>
      <c r="I127" s="306"/>
      <c r="J127" s="306"/>
      <c r="K127" s="306"/>
      <c r="L127" s="307"/>
    </row>
    <row r="128" spans="2:12">
      <c r="K128" s="4"/>
    </row>
    <row r="129" spans="11:11">
      <c r="K129" s="4"/>
    </row>
    <row r="130" spans="11:11">
      <c r="K130" s="4"/>
    </row>
    <row r="131" spans="11:11">
      <c r="K131" s="4"/>
    </row>
    <row r="132" spans="11:11">
      <c r="K132" s="4"/>
    </row>
  </sheetData>
  <dataConsolidate/>
  <mergeCells count="162">
    <mergeCell ref="K78:K81"/>
    <mergeCell ref="L78:L81"/>
    <mergeCell ref="L73:L77"/>
    <mergeCell ref="B66:B68"/>
    <mergeCell ref="E63:E65"/>
    <mergeCell ref="F63:F65"/>
    <mergeCell ref="K63:K65"/>
    <mergeCell ref="C63:C65"/>
    <mergeCell ref="D63:D65"/>
    <mergeCell ref="L63:L65"/>
    <mergeCell ref="D66:D68"/>
    <mergeCell ref="E66:E68"/>
    <mergeCell ref="F66:F68"/>
    <mergeCell ref="K66:K68"/>
    <mergeCell ref="L66:L68"/>
    <mergeCell ref="C69:C71"/>
    <mergeCell ref="D69:D71"/>
    <mergeCell ref="B72:L72"/>
    <mergeCell ref="E78:E81"/>
    <mergeCell ref="F78:F81"/>
    <mergeCell ref="E69:E71"/>
    <mergeCell ref="L69:L71"/>
    <mergeCell ref="B63:B65"/>
    <mergeCell ref="L107:L114"/>
    <mergeCell ref="L95:L102"/>
    <mergeCell ref="D95:D102"/>
    <mergeCell ref="E95:E102"/>
    <mergeCell ref="F95:F102"/>
    <mergeCell ref="K107:K114"/>
    <mergeCell ref="K95:K102"/>
    <mergeCell ref="L85:L87"/>
    <mergeCell ref="C85:C87"/>
    <mergeCell ref="D85:D87"/>
    <mergeCell ref="E85:E87"/>
    <mergeCell ref="F85:F87"/>
    <mergeCell ref="K85:K87"/>
    <mergeCell ref="C107:C114"/>
    <mergeCell ref="D107:D114"/>
    <mergeCell ref="E107:E114"/>
    <mergeCell ref="F107:F114"/>
    <mergeCell ref="L89:L94"/>
    <mergeCell ref="B95:B102"/>
    <mergeCell ref="C95:C102"/>
    <mergeCell ref="E103:E106"/>
    <mergeCell ref="F103:F106"/>
    <mergeCell ref="K103:K106"/>
    <mergeCell ref="C82:C84"/>
    <mergeCell ref="D82:D84"/>
    <mergeCell ref="E82:E84"/>
    <mergeCell ref="F82:F84"/>
    <mergeCell ref="B103:B106"/>
    <mergeCell ref="C103:C106"/>
    <mergeCell ref="D103:D106"/>
    <mergeCell ref="K82:K84"/>
    <mergeCell ref="B89:B94"/>
    <mergeCell ref="C89:C94"/>
    <mergeCell ref="D89:D94"/>
    <mergeCell ref="E89:E94"/>
    <mergeCell ref="F89:F94"/>
    <mergeCell ref="K89:K94"/>
    <mergeCell ref="B127:L127"/>
    <mergeCell ref="K115:K117"/>
    <mergeCell ref="L103:L106"/>
    <mergeCell ref="B73:B77"/>
    <mergeCell ref="C73:C77"/>
    <mergeCell ref="D73:D77"/>
    <mergeCell ref="E73:E77"/>
    <mergeCell ref="F73:F77"/>
    <mergeCell ref="B78:B81"/>
    <mergeCell ref="C78:C81"/>
    <mergeCell ref="D78:D81"/>
    <mergeCell ref="B107:B114"/>
    <mergeCell ref="B82:B84"/>
    <mergeCell ref="B85:B87"/>
    <mergeCell ref="B115:B117"/>
    <mergeCell ref="B118:B120"/>
    <mergeCell ref="B121:B123"/>
    <mergeCell ref="B124:B126"/>
    <mergeCell ref="C121:C123"/>
    <mergeCell ref="D121:D123"/>
    <mergeCell ref="E121:E123"/>
    <mergeCell ref="K121:K123"/>
    <mergeCell ref="L121:L123"/>
    <mergeCell ref="C124:C126"/>
    <mergeCell ref="C8:C17"/>
    <mergeCell ref="D8:D17"/>
    <mergeCell ref="E8:E17"/>
    <mergeCell ref="B8:B17"/>
    <mergeCell ref="L51:L53"/>
    <mergeCell ref="D57:D59"/>
    <mergeCell ref="L28:L37"/>
    <mergeCell ref="D28:D37"/>
    <mergeCell ref="K54:K56"/>
    <mergeCell ref="F51:F53"/>
    <mergeCell ref="L57:L59"/>
    <mergeCell ref="L54:L56"/>
    <mergeCell ref="B18:B27"/>
    <mergeCell ref="C18:C27"/>
    <mergeCell ref="E51:E53"/>
    <mergeCell ref="E28:E37"/>
    <mergeCell ref="E57:E59"/>
    <mergeCell ref="C28:C37"/>
    <mergeCell ref="B57:B59"/>
    <mergeCell ref="B28:B37"/>
    <mergeCell ref="C54:C56"/>
    <mergeCell ref="D51:D53"/>
    <mergeCell ref="L82:L84"/>
    <mergeCell ref="C66:C68"/>
    <mergeCell ref="B2:B3"/>
    <mergeCell ref="G6:H6"/>
    <mergeCell ref="B7:L7"/>
    <mergeCell ref="K73:K77"/>
    <mergeCell ref="B38:B47"/>
    <mergeCell ref="C38:C47"/>
    <mergeCell ref="D38:D47"/>
    <mergeCell ref="E38:E47"/>
    <mergeCell ref="D18:D27"/>
    <mergeCell ref="E18:E27"/>
    <mergeCell ref="K8:K17"/>
    <mergeCell ref="K18:K27"/>
    <mergeCell ref="L38:L47"/>
    <mergeCell ref="K51:K53"/>
    <mergeCell ref="K28:K37"/>
    <mergeCell ref="K38:K47"/>
    <mergeCell ref="L48:L50"/>
    <mergeCell ref="L18:L27"/>
    <mergeCell ref="L60:L62"/>
    <mergeCell ref="B51:B53"/>
    <mergeCell ref="B60:B62"/>
    <mergeCell ref="L8:L17"/>
    <mergeCell ref="F60:F62"/>
    <mergeCell ref="K60:K62"/>
    <mergeCell ref="B54:B56"/>
    <mergeCell ref="C57:C59"/>
    <mergeCell ref="F54:F56"/>
    <mergeCell ref="E54:E56"/>
    <mergeCell ref="D54:D56"/>
    <mergeCell ref="C51:C53"/>
    <mergeCell ref="B48:B50"/>
    <mergeCell ref="C48:C50"/>
    <mergeCell ref="D48:D50"/>
    <mergeCell ref="E48:E50"/>
    <mergeCell ref="F48:F50"/>
    <mergeCell ref="K48:K50"/>
    <mergeCell ref="K57:K59"/>
    <mergeCell ref="F57:F59"/>
    <mergeCell ref="C60:C62"/>
    <mergeCell ref="D60:D62"/>
    <mergeCell ref="E60:E62"/>
    <mergeCell ref="D124:D126"/>
    <mergeCell ref="E124:E126"/>
    <mergeCell ref="K124:K126"/>
    <mergeCell ref="L124:L126"/>
    <mergeCell ref="L115:L117"/>
    <mergeCell ref="C115:C117"/>
    <mergeCell ref="E115:E117"/>
    <mergeCell ref="D115:D117"/>
    <mergeCell ref="C118:C120"/>
    <mergeCell ref="D118:D120"/>
    <mergeCell ref="E118:E120"/>
    <mergeCell ref="K118:K120"/>
    <mergeCell ref="L118:L120"/>
  </mergeCells>
  <phoneticPr fontId="19" type="noConversion"/>
  <conditionalFormatting sqref="K8 K18 K28 K38">
    <cfRule type="cellIs" dxfId="356" priority="69" operator="equal">
      <formula>"Block"</formula>
    </cfRule>
    <cfRule type="cellIs" dxfId="355" priority="70" operator="equal">
      <formula>"."</formula>
    </cfRule>
    <cfRule type="cellIs" dxfId="354" priority="72" operator="equal">
      <formula>0</formula>
    </cfRule>
    <cfRule type="cellIs" dxfId="353" priority="71" operator="equal">
      <formula>1</formula>
    </cfRule>
  </conditionalFormatting>
  <conditionalFormatting sqref="K48 K54">
    <cfRule type="cellIs" dxfId="352" priority="124" operator="equal">
      <formula>0</formula>
    </cfRule>
    <cfRule type="cellIs" dxfId="351" priority="123" operator="equal">
      <formula>1</formula>
    </cfRule>
    <cfRule type="cellIs" dxfId="350" priority="122" operator="equal">
      <formula>"."</formula>
    </cfRule>
    <cfRule type="cellIs" dxfId="349" priority="121" operator="equal">
      <formula>"Block"</formula>
    </cfRule>
  </conditionalFormatting>
  <conditionalFormatting sqref="K51">
    <cfRule type="cellIs" dxfId="348" priority="41" operator="equal">
      <formula>"Block"</formula>
    </cfRule>
    <cfRule type="cellIs" dxfId="347" priority="42" operator="equal">
      <formula>"."</formula>
    </cfRule>
    <cfRule type="cellIs" dxfId="346" priority="43" operator="equal">
      <formula>1</formula>
    </cfRule>
    <cfRule type="cellIs" dxfId="345" priority="44" operator="equal">
      <formula>0</formula>
    </cfRule>
  </conditionalFormatting>
  <conditionalFormatting sqref="K57">
    <cfRule type="cellIs" dxfId="344" priority="119" operator="equal">
      <formula>1</formula>
    </cfRule>
    <cfRule type="cellIs" dxfId="343" priority="118" operator="equal">
      <formula>"."</formula>
    </cfRule>
    <cfRule type="cellIs" dxfId="342" priority="117" operator="equal">
      <formula>"Block"</formula>
    </cfRule>
    <cfRule type="cellIs" dxfId="341" priority="120" operator="equal">
      <formula>0</formula>
    </cfRule>
  </conditionalFormatting>
  <conditionalFormatting sqref="K60">
    <cfRule type="cellIs" dxfId="340" priority="17" operator="equal">
      <formula>"Block"</formula>
    </cfRule>
    <cfRule type="cellIs" dxfId="339" priority="18" operator="equal">
      <formula>"."</formula>
    </cfRule>
    <cfRule type="cellIs" dxfId="338" priority="19" operator="equal">
      <formula>1</formula>
    </cfRule>
    <cfRule type="cellIs" dxfId="337" priority="20" operator="equal">
      <formula>0</formula>
    </cfRule>
  </conditionalFormatting>
  <conditionalFormatting sqref="K63">
    <cfRule type="cellIs" dxfId="336" priority="27" operator="equal">
      <formula>1</formula>
    </cfRule>
    <cfRule type="cellIs" dxfId="335" priority="25" operator="equal">
      <formula>"Block"</formula>
    </cfRule>
    <cfRule type="cellIs" dxfId="334" priority="26" operator="equal">
      <formula>"."</formula>
    </cfRule>
    <cfRule type="cellIs" dxfId="333" priority="28" operator="equal">
      <formula>0</formula>
    </cfRule>
  </conditionalFormatting>
  <conditionalFormatting sqref="K66">
    <cfRule type="cellIs" dxfId="332" priority="21" operator="equal">
      <formula>"Block"</formula>
    </cfRule>
    <cfRule type="cellIs" dxfId="331" priority="22" operator="equal">
      <formula>"."</formula>
    </cfRule>
    <cfRule type="cellIs" dxfId="330" priority="23" operator="equal">
      <formula>1</formula>
    </cfRule>
    <cfRule type="cellIs" dxfId="329" priority="24" operator="equal">
      <formula>0</formula>
    </cfRule>
  </conditionalFormatting>
  <conditionalFormatting sqref="K69:K71">
    <cfRule type="cellIs" dxfId="328" priority="2" operator="equal">
      <formula>"."</formula>
    </cfRule>
    <cfRule type="cellIs" dxfId="327" priority="3" operator="equal">
      <formula>1</formula>
    </cfRule>
    <cfRule type="cellIs" dxfId="326" priority="4" operator="equal">
      <formula>0</formula>
    </cfRule>
    <cfRule type="cellIs" dxfId="325" priority="1" operator="equal">
      <formula>"Block"</formula>
    </cfRule>
  </conditionalFormatting>
  <conditionalFormatting sqref="K73">
    <cfRule type="cellIs" dxfId="324" priority="73" operator="equal">
      <formula>"Block"</formula>
    </cfRule>
    <cfRule type="cellIs" dxfId="323" priority="74" operator="equal">
      <formula>"."</formula>
    </cfRule>
    <cfRule type="cellIs" dxfId="322" priority="75" operator="equal">
      <formula>1</formula>
    </cfRule>
    <cfRule type="cellIs" dxfId="321" priority="76" operator="equal">
      <formula>0</formula>
    </cfRule>
  </conditionalFormatting>
  <conditionalFormatting sqref="K78:K89">
    <cfRule type="cellIs" dxfId="320" priority="147" operator="equal">
      <formula>1</formula>
    </cfRule>
    <cfRule type="cellIs" dxfId="319" priority="146" operator="equal">
      <formula>"."</formula>
    </cfRule>
    <cfRule type="cellIs" dxfId="318" priority="145" operator="equal">
      <formula>"Block"</formula>
    </cfRule>
    <cfRule type="cellIs" dxfId="317" priority="148" operator="equal">
      <formula>0</formula>
    </cfRule>
  </conditionalFormatting>
  <conditionalFormatting sqref="K95">
    <cfRule type="cellIs" dxfId="316" priority="112" operator="equal">
      <formula>0</formula>
    </cfRule>
    <cfRule type="cellIs" dxfId="315" priority="111" operator="equal">
      <formula>1</formula>
    </cfRule>
    <cfRule type="cellIs" dxfId="314" priority="110" operator="equal">
      <formula>"."</formula>
    </cfRule>
    <cfRule type="cellIs" dxfId="313" priority="109" operator="equal">
      <formula>"Block"</formula>
    </cfRule>
  </conditionalFormatting>
  <conditionalFormatting sqref="K103">
    <cfRule type="cellIs" dxfId="312" priority="107" operator="equal">
      <formula>1</formula>
    </cfRule>
    <cfRule type="cellIs" dxfId="311" priority="105" operator="equal">
      <formula>"Block"</formula>
    </cfRule>
    <cfRule type="cellIs" dxfId="310" priority="106" operator="equal">
      <formula>"."</formula>
    </cfRule>
    <cfRule type="cellIs" dxfId="309" priority="108" operator="equal">
      <formula>0</formula>
    </cfRule>
  </conditionalFormatting>
  <conditionalFormatting sqref="K107">
    <cfRule type="cellIs" dxfId="308" priority="104" operator="equal">
      <formula>0</formula>
    </cfRule>
    <cfRule type="cellIs" dxfId="307" priority="103" operator="equal">
      <formula>1</formula>
    </cfRule>
    <cfRule type="cellIs" dxfId="306" priority="102" operator="equal">
      <formula>"."</formula>
    </cfRule>
    <cfRule type="cellIs" dxfId="305" priority="101" operator="equal">
      <formula>"Block"</formula>
    </cfRule>
  </conditionalFormatting>
  <conditionalFormatting sqref="K115">
    <cfRule type="cellIs" dxfId="304" priority="80" operator="equal">
      <formula>0</formula>
    </cfRule>
    <cfRule type="cellIs" dxfId="303" priority="79" operator="equal">
      <formula>1</formula>
    </cfRule>
    <cfRule type="cellIs" dxfId="302" priority="78" operator="equal">
      <formula>"."</formula>
    </cfRule>
    <cfRule type="cellIs" dxfId="301" priority="77" operator="equal">
      <formula>"Block"</formula>
    </cfRule>
  </conditionalFormatting>
  <conditionalFormatting sqref="K118">
    <cfRule type="cellIs" dxfId="300" priority="16" operator="equal">
      <formula>0</formula>
    </cfRule>
    <cfRule type="cellIs" dxfId="299" priority="15" operator="equal">
      <formula>1</formula>
    </cfRule>
    <cfRule type="cellIs" dxfId="298" priority="14" operator="equal">
      <formula>"."</formula>
    </cfRule>
    <cfRule type="cellIs" dxfId="297" priority="13" operator="equal">
      <formula>"Block"</formula>
    </cfRule>
  </conditionalFormatting>
  <conditionalFormatting sqref="K121">
    <cfRule type="cellIs" dxfId="296" priority="9" operator="equal">
      <formula>"Block"</formula>
    </cfRule>
    <cfRule type="cellIs" dxfId="295" priority="12" operator="equal">
      <formula>0</formula>
    </cfRule>
    <cfRule type="cellIs" dxfId="294" priority="11" operator="equal">
      <formula>1</formula>
    </cfRule>
    <cfRule type="cellIs" dxfId="293" priority="10" operator="equal">
      <formula>"."</formula>
    </cfRule>
  </conditionalFormatting>
  <conditionalFormatting sqref="K124">
    <cfRule type="cellIs" dxfId="292" priority="6" operator="equal">
      <formula>"."</formula>
    </cfRule>
    <cfRule type="cellIs" dxfId="291" priority="7" operator="equal">
      <formula>1</formula>
    </cfRule>
    <cfRule type="cellIs" dxfId="290" priority="8" operator="equal">
      <formula>0</formula>
    </cfRule>
    <cfRule type="cellIs" dxfId="289" priority="5" operator="equal">
      <formula>"Block"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81BC-B6B5-4F7D-A422-0F11A603E710}">
  <dimension ref="B1:R50"/>
  <sheetViews>
    <sheetView zoomScale="40" zoomScaleNormal="40" workbookViewId="0">
      <selection activeCell="L35" sqref="L35:L39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5.81640625" style="33" customWidth="1"/>
    <col min="4" max="6" width="13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6384" width="9.1796875" style="4"/>
  </cols>
  <sheetData>
    <row r="1" spans="2:18">
      <c r="O1" s="5"/>
    </row>
    <row r="2" spans="2:18" ht="21.75" customHeight="1">
      <c r="B2" s="276">
        <f>SUM(O3:O4)/SUM(O6:O6)</f>
        <v>0</v>
      </c>
      <c r="C2" s="47"/>
      <c r="D2" s="47"/>
      <c r="E2" s="47"/>
      <c r="F2" s="47"/>
      <c r="G2" s="60"/>
      <c r="H2" s="24" t="s">
        <v>40</v>
      </c>
      <c r="I2" s="37"/>
      <c r="J2" s="37"/>
      <c r="K2" s="16"/>
      <c r="L2" s="15" t="s">
        <v>135</v>
      </c>
      <c r="N2" s="56" t="s">
        <v>41</v>
      </c>
      <c r="O2" s="55">
        <f>SUM(O3:O5)/O7</f>
        <v>0</v>
      </c>
      <c r="Q2" s="84" t="s">
        <v>42</v>
      </c>
    </row>
    <row r="3" spans="2:18" ht="43.5">
      <c r="B3" s="277"/>
      <c r="C3" s="48"/>
      <c r="D3" s="48"/>
      <c r="E3" s="48"/>
      <c r="F3" s="48"/>
      <c r="G3" s="61"/>
      <c r="H3" s="23" t="s">
        <v>43</v>
      </c>
      <c r="I3" s="38"/>
      <c r="J3" s="38"/>
      <c r="K3" s="12"/>
      <c r="L3" s="13" t="s">
        <v>136</v>
      </c>
      <c r="N3" s="57" t="s">
        <v>44</v>
      </c>
      <c r="O3" s="58">
        <f>COUNTIF(K7:K97,1)</f>
        <v>0</v>
      </c>
      <c r="Q3" s="84" t="s">
        <v>45</v>
      </c>
      <c r="R3" s="85">
        <f>COUNTIF(D8:D96,"Positive")</f>
        <v>4</v>
      </c>
    </row>
    <row r="4" spans="2:18" ht="43.5">
      <c r="B4" s="30" t="s">
        <v>46</v>
      </c>
      <c r="C4" s="49"/>
      <c r="D4" s="49"/>
      <c r="E4" s="49"/>
      <c r="F4" s="49"/>
      <c r="G4" s="62"/>
      <c r="H4" s="23" t="s">
        <v>47</v>
      </c>
      <c r="I4" s="38"/>
      <c r="J4" s="38"/>
      <c r="K4" s="12"/>
      <c r="L4" s="13" t="s">
        <v>137</v>
      </c>
      <c r="M4" s="22"/>
      <c r="N4" s="17" t="s">
        <v>49</v>
      </c>
      <c r="O4" s="18">
        <f>COUNTIF(K7:K97,0)</f>
        <v>0</v>
      </c>
      <c r="P4" s="5"/>
      <c r="Q4" s="84" t="s">
        <v>50</v>
      </c>
      <c r="R4" s="85">
        <f>COUNTIF(D9:D96,"Negative")</f>
        <v>4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COUNTIF(K9:K99,"Block")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138</v>
      </c>
      <c r="N6" s="19" t="s">
        <v>61</v>
      </c>
      <c r="O6" s="20">
        <f>COUNTIF(K7:K97,".")</f>
        <v>5</v>
      </c>
    </row>
    <row r="7" spans="2:18"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N7" s="21" t="s">
        <v>63</v>
      </c>
      <c r="O7" s="21">
        <f>SUM(O3:O6)</f>
        <v>5</v>
      </c>
    </row>
    <row r="8" spans="2:18">
      <c r="B8" s="292" t="s">
        <v>139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</row>
    <row r="9" spans="2:18" ht="15.75" customHeight="1">
      <c r="B9" s="300" t="s">
        <v>400</v>
      </c>
      <c r="C9" s="300" t="s">
        <v>401</v>
      </c>
      <c r="D9" s="300" t="s">
        <v>66</v>
      </c>
      <c r="E9" s="300"/>
      <c r="F9" s="140"/>
      <c r="G9" s="103">
        <v>1</v>
      </c>
      <c r="H9" s="104" t="s">
        <v>402</v>
      </c>
      <c r="I9" s="104" t="s">
        <v>403</v>
      </c>
      <c r="J9" s="105"/>
      <c r="K9" s="333" t="s">
        <v>633</v>
      </c>
      <c r="L9" s="334"/>
    </row>
    <row r="10" spans="2:18" ht="15.75" customHeight="1">
      <c r="B10" s="300"/>
      <c r="C10" s="300"/>
      <c r="D10" s="300"/>
      <c r="E10" s="300"/>
      <c r="F10" s="140"/>
      <c r="G10" s="103">
        <v>2</v>
      </c>
      <c r="H10" s="104" t="s">
        <v>404</v>
      </c>
      <c r="I10" s="104" t="s">
        <v>405</v>
      </c>
      <c r="J10" s="105"/>
      <c r="K10" s="333"/>
      <c r="L10" s="334"/>
    </row>
    <row r="11" spans="2:18" ht="15.75" customHeight="1">
      <c r="B11" s="300"/>
      <c r="C11" s="300"/>
      <c r="D11" s="300"/>
      <c r="E11" s="300"/>
      <c r="F11" s="140"/>
      <c r="G11" s="103">
        <v>3</v>
      </c>
      <c r="H11" s="104" t="s">
        <v>406</v>
      </c>
      <c r="I11" s="104" t="s">
        <v>407</v>
      </c>
      <c r="J11" s="105"/>
      <c r="K11" s="333"/>
      <c r="L11" s="334"/>
    </row>
    <row r="12" spans="2:18" ht="15.75" customHeight="1">
      <c r="B12" s="300"/>
      <c r="C12" s="300"/>
      <c r="D12" s="300"/>
      <c r="E12" s="300"/>
      <c r="F12" s="140"/>
      <c r="G12" s="103">
        <v>4</v>
      </c>
      <c r="H12" s="104" t="s">
        <v>408</v>
      </c>
      <c r="I12" s="104" t="s">
        <v>409</v>
      </c>
      <c r="J12" s="105"/>
      <c r="K12" s="333"/>
      <c r="L12" s="334"/>
    </row>
    <row r="13" spans="2:18" ht="15.75" customHeight="1">
      <c r="B13" s="300"/>
      <c r="C13" s="300"/>
      <c r="D13" s="300"/>
      <c r="E13" s="300"/>
      <c r="F13" s="140"/>
      <c r="G13" s="103">
        <v>5</v>
      </c>
      <c r="H13" s="104" t="s">
        <v>410</v>
      </c>
      <c r="I13" s="104" t="s">
        <v>411</v>
      </c>
      <c r="J13" s="105"/>
      <c r="K13" s="333"/>
      <c r="L13" s="334"/>
    </row>
    <row r="14" spans="2:18" ht="15.75" customHeight="1">
      <c r="B14" s="300" t="s">
        <v>412</v>
      </c>
      <c r="C14" s="300" t="s">
        <v>413</v>
      </c>
      <c r="D14" s="300" t="s">
        <v>66</v>
      </c>
      <c r="E14" s="300"/>
      <c r="F14" s="140"/>
      <c r="G14" s="103">
        <v>1</v>
      </c>
      <c r="H14" s="104" t="s">
        <v>402</v>
      </c>
      <c r="I14" s="104" t="s">
        <v>403</v>
      </c>
      <c r="J14" s="105"/>
      <c r="K14" s="333" t="s">
        <v>633</v>
      </c>
      <c r="L14" s="334"/>
    </row>
    <row r="15" spans="2:18" ht="15.75" customHeight="1">
      <c r="B15" s="300"/>
      <c r="C15" s="300"/>
      <c r="D15" s="300"/>
      <c r="E15" s="300"/>
      <c r="F15" s="140"/>
      <c r="G15" s="103">
        <v>2</v>
      </c>
      <c r="H15" s="104" t="s">
        <v>404</v>
      </c>
      <c r="I15" s="104" t="s">
        <v>405</v>
      </c>
      <c r="J15" s="105"/>
      <c r="K15" s="333"/>
      <c r="L15" s="334"/>
    </row>
    <row r="16" spans="2:18" ht="15.75" customHeight="1">
      <c r="B16" s="300"/>
      <c r="C16" s="300"/>
      <c r="D16" s="300"/>
      <c r="E16" s="300"/>
      <c r="F16" s="140"/>
      <c r="G16" s="103">
        <v>3</v>
      </c>
      <c r="H16" s="104" t="s">
        <v>406</v>
      </c>
      <c r="I16" s="104" t="s">
        <v>407</v>
      </c>
      <c r="J16" s="105"/>
      <c r="K16" s="333"/>
      <c r="L16" s="334"/>
    </row>
    <row r="17" spans="2:12" ht="15.75" customHeight="1">
      <c r="B17" s="300"/>
      <c r="C17" s="300"/>
      <c r="D17" s="300"/>
      <c r="E17" s="300"/>
      <c r="F17" s="140"/>
      <c r="G17" s="103">
        <v>4</v>
      </c>
      <c r="H17" s="104" t="s">
        <v>408</v>
      </c>
      <c r="I17" s="104" t="s">
        <v>409</v>
      </c>
      <c r="J17" s="105"/>
      <c r="K17" s="333"/>
      <c r="L17" s="334"/>
    </row>
    <row r="18" spans="2:12" ht="15.75" customHeight="1">
      <c r="B18" s="300"/>
      <c r="C18" s="300"/>
      <c r="D18" s="300"/>
      <c r="E18" s="300"/>
      <c r="F18" s="140"/>
      <c r="G18" s="103">
        <v>5</v>
      </c>
      <c r="H18" s="104" t="s">
        <v>410</v>
      </c>
      <c r="I18" s="104" t="s">
        <v>411</v>
      </c>
      <c r="J18" s="105"/>
      <c r="K18" s="333"/>
      <c r="L18" s="334"/>
    </row>
    <row r="19" spans="2:12" ht="15.75" customHeight="1">
      <c r="B19" s="300" t="s">
        <v>412</v>
      </c>
      <c r="C19" s="300" t="s">
        <v>414</v>
      </c>
      <c r="D19" s="300" t="s">
        <v>66</v>
      </c>
      <c r="E19" s="300"/>
      <c r="F19" s="140"/>
      <c r="G19" s="103">
        <v>1</v>
      </c>
      <c r="H19" s="104" t="s">
        <v>402</v>
      </c>
      <c r="I19" s="104" t="s">
        <v>403</v>
      </c>
      <c r="J19" s="105"/>
      <c r="K19" s="333"/>
      <c r="L19" s="334" t="s">
        <v>415</v>
      </c>
    </row>
    <row r="20" spans="2:12" ht="15.75" customHeight="1">
      <c r="B20" s="300"/>
      <c r="C20" s="300"/>
      <c r="D20" s="300"/>
      <c r="E20" s="300"/>
      <c r="F20" s="140"/>
      <c r="G20" s="103">
        <v>2</v>
      </c>
      <c r="H20" s="104" t="s">
        <v>404</v>
      </c>
      <c r="I20" s="104" t="s">
        <v>405</v>
      </c>
      <c r="J20" s="105"/>
      <c r="K20" s="333"/>
      <c r="L20" s="334"/>
    </row>
    <row r="21" spans="2:12" ht="15.75" customHeight="1">
      <c r="B21" s="300"/>
      <c r="C21" s="300"/>
      <c r="D21" s="300"/>
      <c r="E21" s="300"/>
      <c r="F21" s="140"/>
      <c r="G21" s="103">
        <v>3</v>
      </c>
      <c r="H21" s="104" t="s">
        <v>406</v>
      </c>
      <c r="I21" s="104" t="s">
        <v>407</v>
      </c>
      <c r="J21" s="105"/>
      <c r="K21" s="333"/>
      <c r="L21" s="334"/>
    </row>
    <row r="22" spans="2:12" ht="15.75" customHeight="1">
      <c r="B22" s="300"/>
      <c r="C22" s="300"/>
      <c r="D22" s="300"/>
      <c r="E22" s="300"/>
      <c r="F22" s="140"/>
      <c r="G22" s="103">
        <v>4</v>
      </c>
      <c r="H22" s="104" t="s">
        <v>408</v>
      </c>
      <c r="I22" s="104" t="s">
        <v>409</v>
      </c>
      <c r="J22" s="105"/>
      <c r="K22" s="333"/>
      <c r="L22" s="334"/>
    </row>
    <row r="23" spans="2:12" ht="15.75" customHeight="1">
      <c r="B23" s="300"/>
      <c r="C23" s="300"/>
      <c r="D23" s="300"/>
      <c r="E23" s="300"/>
      <c r="F23" s="140"/>
      <c r="G23" s="103">
        <v>5</v>
      </c>
      <c r="H23" s="104" t="s">
        <v>410</v>
      </c>
      <c r="I23" s="104" t="s">
        <v>411</v>
      </c>
      <c r="J23" s="105"/>
      <c r="K23" s="333"/>
      <c r="L23" s="334"/>
    </row>
    <row r="24" spans="2:12" ht="15.75" customHeight="1">
      <c r="B24" s="268" t="s">
        <v>416</v>
      </c>
      <c r="C24" s="268" t="s">
        <v>417</v>
      </c>
      <c r="D24" s="268" t="s">
        <v>66</v>
      </c>
      <c r="E24" s="268"/>
      <c r="F24" s="133"/>
      <c r="G24" s="167">
        <v>1</v>
      </c>
      <c r="H24" s="104" t="s">
        <v>402</v>
      </c>
      <c r="I24" s="104" t="s">
        <v>403</v>
      </c>
      <c r="J24" s="156"/>
      <c r="K24" s="281" t="s">
        <v>633</v>
      </c>
      <c r="L24" s="285" t="s">
        <v>418</v>
      </c>
    </row>
    <row r="25" spans="2:12" ht="15.75" customHeight="1">
      <c r="B25" s="268"/>
      <c r="C25" s="268"/>
      <c r="D25" s="268"/>
      <c r="E25" s="268"/>
      <c r="F25" s="133"/>
      <c r="G25" s="167">
        <v>2</v>
      </c>
      <c r="H25" s="104" t="s">
        <v>404</v>
      </c>
      <c r="I25" s="104" t="s">
        <v>405</v>
      </c>
      <c r="J25" s="156"/>
      <c r="K25" s="281"/>
      <c r="L25" s="285"/>
    </row>
    <row r="26" spans="2:12" ht="15.75" customHeight="1">
      <c r="B26" s="268"/>
      <c r="C26" s="268"/>
      <c r="D26" s="268"/>
      <c r="E26" s="268"/>
      <c r="F26" s="133"/>
      <c r="G26" s="167">
        <v>3</v>
      </c>
      <c r="H26" s="104" t="s">
        <v>406</v>
      </c>
      <c r="I26" s="104" t="s">
        <v>407</v>
      </c>
      <c r="J26" s="156"/>
      <c r="K26" s="281"/>
      <c r="L26" s="285"/>
    </row>
    <row r="27" spans="2:12" ht="15.75" customHeight="1">
      <c r="B27" s="268"/>
      <c r="C27" s="268"/>
      <c r="D27" s="268"/>
      <c r="E27" s="268"/>
      <c r="F27" s="133"/>
      <c r="G27" s="167">
        <v>4</v>
      </c>
      <c r="H27" s="104" t="s">
        <v>408</v>
      </c>
      <c r="I27" s="104" t="s">
        <v>409</v>
      </c>
      <c r="J27" s="156"/>
      <c r="K27" s="281"/>
      <c r="L27" s="285"/>
    </row>
    <row r="28" spans="2:12" ht="15.75" customHeight="1">
      <c r="B28" s="268"/>
      <c r="C28" s="268"/>
      <c r="D28" s="268"/>
      <c r="E28" s="268"/>
      <c r="F28" s="133"/>
      <c r="G28" s="167">
        <v>5</v>
      </c>
      <c r="H28" s="104" t="s">
        <v>410</v>
      </c>
      <c r="I28" s="104" t="s">
        <v>411</v>
      </c>
      <c r="J28" s="156"/>
      <c r="K28" s="281"/>
      <c r="L28" s="285"/>
    </row>
    <row r="29" spans="2:12" ht="15" customHeight="1">
      <c r="B29" s="335" t="s">
        <v>172</v>
      </c>
      <c r="C29" s="336"/>
      <c r="D29" s="336"/>
      <c r="E29" s="336"/>
      <c r="F29" s="336"/>
      <c r="G29" s="336"/>
      <c r="H29" s="336"/>
      <c r="I29" s="336"/>
      <c r="J29" s="336"/>
      <c r="K29" s="337"/>
      <c r="L29" s="338"/>
    </row>
    <row r="30" spans="2:12">
      <c r="B30" s="283" t="s">
        <v>419</v>
      </c>
      <c r="C30" s="283" t="s">
        <v>420</v>
      </c>
      <c r="D30" s="283" t="s">
        <v>91</v>
      </c>
      <c r="E30" s="283" t="s">
        <v>421</v>
      </c>
      <c r="F30" s="94"/>
      <c r="G30" s="103">
        <v>1</v>
      </c>
      <c r="H30" s="104" t="s">
        <v>422</v>
      </c>
      <c r="I30" s="104" t="s">
        <v>423</v>
      </c>
      <c r="J30" s="173"/>
      <c r="K30" s="281"/>
      <c r="L30" s="285" t="s">
        <v>424</v>
      </c>
    </row>
    <row r="31" spans="2:12">
      <c r="B31" s="286"/>
      <c r="C31" s="286"/>
      <c r="D31" s="286"/>
      <c r="E31" s="286"/>
      <c r="F31" s="95"/>
      <c r="G31" s="103">
        <v>2</v>
      </c>
      <c r="H31" s="104" t="s">
        <v>425</v>
      </c>
      <c r="I31" s="104" t="s">
        <v>426</v>
      </c>
      <c r="J31" s="173"/>
      <c r="K31" s="281"/>
      <c r="L31" s="285"/>
    </row>
    <row r="32" spans="2:12">
      <c r="B32" s="286"/>
      <c r="C32" s="286"/>
      <c r="D32" s="286"/>
      <c r="E32" s="286"/>
      <c r="F32" s="95"/>
      <c r="G32" s="103">
        <v>3</v>
      </c>
      <c r="H32" s="104" t="s">
        <v>427</v>
      </c>
      <c r="I32" s="104" t="s">
        <v>428</v>
      </c>
      <c r="J32" s="173"/>
      <c r="K32" s="281"/>
      <c r="L32" s="285"/>
    </row>
    <row r="33" spans="2:12">
      <c r="B33" s="283" t="s">
        <v>429</v>
      </c>
      <c r="C33" s="283" t="s">
        <v>430</v>
      </c>
      <c r="D33" s="283" t="s">
        <v>91</v>
      </c>
      <c r="E33" s="94"/>
      <c r="F33" s="94"/>
      <c r="G33" s="103">
        <v>1</v>
      </c>
      <c r="H33" s="104" t="s">
        <v>431</v>
      </c>
      <c r="I33" s="104" t="s">
        <v>432</v>
      </c>
      <c r="J33" s="173"/>
      <c r="K33" s="281" t="s">
        <v>633</v>
      </c>
      <c r="L33" s="285"/>
    </row>
    <row r="34" spans="2:12">
      <c r="B34" s="286"/>
      <c r="C34" s="286"/>
      <c r="D34" s="286"/>
      <c r="E34" s="95"/>
      <c r="F34" s="95"/>
      <c r="G34" s="103">
        <v>2</v>
      </c>
      <c r="H34" s="104" t="s">
        <v>433</v>
      </c>
      <c r="I34" s="104" t="s">
        <v>434</v>
      </c>
      <c r="J34" s="173"/>
      <c r="K34" s="281"/>
      <c r="L34" s="285"/>
    </row>
    <row r="35" spans="2:12">
      <c r="B35" s="283" t="s">
        <v>429</v>
      </c>
      <c r="C35" s="283" t="s">
        <v>435</v>
      </c>
      <c r="D35" s="283" t="s">
        <v>91</v>
      </c>
      <c r="E35" s="94"/>
      <c r="F35" s="94"/>
      <c r="G35" s="103">
        <v>1</v>
      </c>
      <c r="H35" s="104"/>
      <c r="I35" s="104"/>
      <c r="J35" s="173"/>
      <c r="K35" s="281" t="s">
        <v>633</v>
      </c>
      <c r="L35" s="285"/>
    </row>
    <row r="36" spans="2:12">
      <c r="B36" s="286"/>
      <c r="C36" s="286"/>
      <c r="D36" s="286"/>
      <c r="E36" s="95"/>
      <c r="F36" s="95"/>
      <c r="G36" s="103">
        <v>2</v>
      </c>
      <c r="H36" s="104"/>
      <c r="I36" s="104"/>
      <c r="J36" s="173"/>
      <c r="K36" s="281"/>
      <c r="L36" s="285"/>
    </row>
    <row r="37" spans="2:12">
      <c r="B37" s="286"/>
      <c r="C37" s="286"/>
      <c r="D37" s="286"/>
      <c r="E37" s="95"/>
      <c r="F37" s="95"/>
      <c r="G37" s="103">
        <v>3</v>
      </c>
      <c r="H37" s="104"/>
      <c r="I37" s="104"/>
      <c r="J37" s="173"/>
      <c r="K37" s="281"/>
      <c r="L37" s="285"/>
    </row>
    <row r="38" spans="2:12">
      <c r="B38" s="286"/>
      <c r="C38" s="286"/>
      <c r="D38" s="286"/>
      <c r="E38" s="95"/>
      <c r="F38" s="95"/>
      <c r="G38" s="103">
        <v>4</v>
      </c>
      <c r="H38" s="104"/>
      <c r="I38" s="104"/>
      <c r="J38" s="173"/>
      <c r="K38" s="281"/>
      <c r="L38" s="285"/>
    </row>
    <row r="39" spans="2:12">
      <c r="B39" s="286"/>
      <c r="C39" s="286"/>
      <c r="D39" s="284"/>
      <c r="E39" s="95"/>
      <c r="F39" s="95"/>
      <c r="G39" s="103">
        <v>5</v>
      </c>
      <c r="H39" s="104"/>
      <c r="I39" s="104"/>
      <c r="J39" s="173"/>
      <c r="K39" s="281"/>
      <c r="L39" s="285"/>
    </row>
    <row r="40" spans="2:12">
      <c r="B40" s="283" t="s">
        <v>436</v>
      </c>
      <c r="C40" s="283" t="s">
        <v>437</v>
      </c>
      <c r="D40" s="283" t="s">
        <v>91</v>
      </c>
      <c r="E40" s="94"/>
      <c r="F40" s="94"/>
      <c r="G40" s="103">
        <v>1</v>
      </c>
      <c r="H40" s="104"/>
      <c r="I40" s="104"/>
      <c r="J40" s="173"/>
      <c r="K40" s="281"/>
      <c r="L40" s="285" t="s">
        <v>424</v>
      </c>
    </row>
    <row r="41" spans="2:12">
      <c r="B41" s="286"/>
      <c r="C41" s="286"/>
      <c r="D41" s="286"/>
      <c r="E41" s="95"/>
      <c r="F41" s="95"/>
      <c r="G41" s="103">
        <v>2</v>
      </c>
      <c r="H41" s="104"/>
      <c r="I41" s="104"/>
      <c r="J41" s="173"/>
      <c r="K41" s="281"/>
      <c r="L41" s="285"/>
    </row>
    <row r="42" spans="2:12">
      <c r="B42" s="286"/>
      <c r="C42" s="286"/>
      <c r="D42" s="286"/>
      <c r="E42" s="95"/>
      <c r="F42" s="95"/>
      <c r="G42" s="103">
        <v>3</v>
      </c>
      <c r="H42" s="104"/>
      <c r="I42" s="104"/>
      <c r="J42" s="173"/>
      <c r="K42" s="281"/>
      <c r="L42" s="285"/>
    </row>
    <row r="43" spans="2:12">
      <c r="B43" s="286"/>
      <c r="C43" s="286"/>
      <c r="D43" s="286"/>
      <c r="E43" s="95"/>
      <c r="F43" s="95"/>
      <c r="G43" s="103">
        <v>4</v>
      </c>
      <c r="H43" s="104"/>
      <c r="I43" s="104"/>
      <c r="J43" s="173"/>
      <c r="K43" s="281"/>
      <c r="L43" s="285"/>
    </row>
    <row r="44" spans="2:12">
      <c r="B44" s="286"/>
      <c r="C44" s="286"/>
      <c r="D44" s="284"/>
      <c r="E44" s="95"/>
      <c r="F44" s="95"/>
      <c r="G44" s="103">
        <v>5</v>
      </c>
      <c r="H44" s="104"/>
      <c r="I44" s="104"/>
      <c r="J44" s="173"/>
      <c r="K44" s="281"/>
      <c r="L44" s="285"/>
    </row>
    <row r="45" spans="2:12">
      <c r="B45" s="294"/>
      <c r="C45" s="294"/>
      <c r="D45" s="294"/>
      <c r="E45" s="294"/>
      <c r="F45" s="294"/>
      <c r="G45" s="294"/>
      <c r="H45" s="294"/>
      <c r="I45" s="294"/>
      <c r="J45" s="294"/>
      <c r="K45" s="282"/>
      <c r="L45" s="282"/>
    </row>
    <row r="46" spans="2:12">
      <c r="K46" s="4"/>
    </row>
    <row r="47" spans="2:12">
      <c r="K47" s="4"/>
    </row>
    <row r="48" spans="2:12">
      <c r="K48" s="4"/>
    </row>
    <row r="49" spans="11:11">
      <c r="K49" s="4"/>
    </row>
    <row r="50" spans="11:11">
      <c r="K50" s="4"/>
    </row>
  </sheetData>
  <mergeCells count="51">
    <mergeCell ref="B35:B39"/>
    <mergeCell ref="C35:C39"/>
    <mergeCell ref="D35:D39"/>
    <mergeCell ref="K35:K39"/>
    <mergeCell ref="L35:L39"/>
    <mergeCell ref="B33:B34"/>
    <mergeCell ref="C33:C34"/>
    <mergeCell ref="D33:D34"/>
    <mergeCell ref="K33:K34"/>
    <mergeCell ref="L33:L34"/>
    <mergeCell ref="B45:L45"/>
    <mergeCell ref="B40:B44"/>
    <mergeCell ref="C40:C44"/>
    <mergeCell ref="D40:D44"/>
    <mergeCell ref="K40:K44"/>
    <mergeCell ref="L40:L44"/>
    <mergeCell ref="B30:B32"/>
    <mergeCell ref="C30:C32"/>
    <mergeCell ref="D30:D32"/>
    <mergeCell ref="K30:K32"/>
    <mergeCell ref="L30:L32"/>
    <mergeCell ref="E30:E32"/>
    <mergeCell ref="B29:L29"/>
    <mergeCell ref="B24:B28"/>
    <mergeCell ref="C24:C28"/>
    <mergeCell ref="D24:D28"/>
    <mergeCell ref="E24:E28"/>
    <mergeCell ref="K24:K28"/>
    <mergeCell ref="L24:L28"/>
    <mergeCell ref="L19:L23"/>
    <mergeCell ref="B14:B18"/>
    <mergeCell ref="C14:C18"/>
    <mergeCell ref="D14:D18"/>
    <mergeCell ref="E14:E18"/>
    <mergeCell ref="K14:K18"/>
    <mergeCell ref="L14:L18"/>
    <mergeCell ref="B19:B23"/>
    <mergeCell ref="C19:C23"/>
    <mergeCell ref="D19:D23"/>
    <mergeCell ref="E19:E23"/>
    <mergeCell ref="K19:K23"/>
    <mergeCell ref="B2:B3"/>
    <mergeCell ref="G6:H6"/>
    <mergeCell ref="B7:L7"/>
    <mergeCell ref="B8:L8"/>
    <mergeCell ref="B9:B13"/>
    <mergeCell ref="C9:C13"/>
    <mergeCell ref="D9:D13"/>
    <mergeCell ref="E9:E13"/>
    <mergeCell ref="K9:K13"/>
    <mergeCell ref="L9:L13"/>
  </mergeCells>
  <conditionalFormatting sqref="K9 K19">
    <cfRule type="cellIs" dxfId="288" priority="22" operator="equal">
      <formula>"."</formula>
    </cfRule>
    <cfRule type="cellIs" dxfId="287" priority="23" operator="equal">
      <formula>1</formula>
    </cfRule>
    <cfRule type="cellIs" dxfId="286" priority="24" operator="equal">
      <formula>0</formula>
    </cfRule>
  </conditionalFormatting>
  <conditionalFormatting sqref="K14">
    <cfRule type="cellIs" dxfId="285" priority="1" operator="equal">
      <formula>"."</formula>
    </cfRule>
    <cfRule type="cellIs" dxfId="284" priority="2" operator="equal">
      <formula>1</formula>
    </cfRule>
    <cfRule type="cellIs" dxfId="283" priority="3" operator="equal">
      <formula>0</formula>
    </cfRule>
  </conditionalFormatting>
  <conditionalFormatting sqref="K24">
    <cfRule type="cellIs" dxfId="282" priority="10" operator="equal">
      <formula>"."</formula>
    </cfRule>
    <cfRule type="cellIs" dxfId="281" priority="11" operator="equal">
      <formula>1</formula>
    </cfRule>
    <cfRule type="cellIs" dxfId="280" priority="12" operator="equal">
      <formula>0</formula>
    </cfRule>
  </conditionalFormatting>
  <conditionalFormatting sqref="K29:K30">
    <cfRule type="cellIs" dxfId="279" priority="16" operator="equal">
      <formula>"."</formula>
    </cfRule>
    <cfRule type="cellIs" dxfId="278" priority="17" operator="equal">
      <formula>1</formula>
    </cfRule>
    <cfRule type="cellIs" dxfId="277" priority="18" operator="equal">
      <formula>0</formula>
    </cfRule>
  </conditionalFormatting>
  <conditionalFormatting sqref="K33">
    <cfRule type="cellIs" dxfId="276" priority="7" operator="equal">
      <formula>"."</formula>
    </cfRule>
    <cfRule type="cellIs" dxfId="275" priority="8" operator="equal">
      <formula>1</formula>
    </cfRule>
    <cfRule type="cellIs" dxfId="274" priority="9" operator="equal">
      <formula>0</formula>
    </cfRule>
  </conditionalFormatting>
  <conditionalFormatting sqref="K35">
    <cfRule type="cellIs" dxfId="273" priority="4" operator="equal">
      <formula>"."</formula>
    </cfRule>
    <cfRule type="cellIs" dxfId="272" priority="5" operator="equal">
      <formula>1</formula>
    </cfRule>
    <cfRule type="cellIs" dxfId="271" priority="6" operator="equal">
      <formula>0</formula>
    </cfRule>
  </conditionalFormatting>
  <conditionalFormatting sqref="K40">
    <cfRule type="cellIs" dxfId="270" priority="19" operator="equal">
      <formula>"."</formula>
    </cfRule>
    <cfRule type="cellIs" dxfId="269" priority="20" operator="equal">
      <formula>1</formula>
    </cfRule>
    <cfRule type="cellIs" dxfId="268" priority="21" operator="equal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218E-E984-4BE0-9D14-DB5E72CD17A6}">
  <dimension ref="B1:R244"/>
  <sheetViews>
    <sheetView topLeftCell="A230" zoomScale="55" zoomScaleNormal="55" workbookViewId="0">
      <selection activeCell="L109" sqref="L109:L111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5.81640625" style="33" customWidth="1"/>
    <col min="4" max="6" width="13" style="33" customWidth="1"/>
    <col min="7" max="7" width="4.26953125" style="33" customWidth="1"/>
    <col min="8" max="8" width="42.1796875" style="4" customWidth="1"/>
    <col min="9" max="9" width="31.453125" style="40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6384" width="9.1796875" style="4"/>
  </cols>
  <sheetData>
    <row r="1" spans="2:18">
      <c r="O1" s="5"/>
    </row>
    <row r="2" spans="2:18" ht="21.75" customHeight="1">
      <c r="B2" s="276">
        <f>SUM(O3:O4)/SUM(O6:O6)</f>
        <v>0</v>
      </c>
      <c r="C2" s="47"/>
      <c r="D2" s="47"/>
      <c r="E2" s="47"/>
      <c r="F2" s="47"/>
      <c r="G2" s="60"/>
      <c r="H2" s="24" t="s">
        <v>40</v>
      </c>
      <c r="I2" s="37"/>
      <c r="J2" s="37"/>
      <c r="K2" s="16"/>
      <c r="L2" s="15" t="s">
        <v>135</v>
      </c>
      <c r="N2" s="56" t="s">
        <v>41</v>
      </c>
      <c r="O2" s="55">
        <f>SUM(O3:O5)/O7</f>
        <v>0</v>
      </c>
      <c r="Q2" s="84" t="s">
        <v>42</v>
      </c>
    </row>
    <row r="3" spans="2:18" ht="43.5">
      <c r="B3" s="277"/>
      <c r="C3" s="48"/>
      <c r="D3" s="48"/>
      <c r="E3" s="48"/>
      <c r="F3" s="48"/>
      <c r="G3" s="61"/>
      <c r="H3" s="23" t="s">
        <v>43</v>
      </c>
      <c r="I3" s="38"/>
      <c r="J3" s="38"/>
      <c r="K3" s="12"/>
      <c r="L3" s="13" t="s">
        <v>136</v>
      </c>
      <c r="N3" s="57" t="s">
        <v>44</v>
      </c>
      <c r="O3" s="58">
        <f>COUNTIF(K7:K291,1)</f>
        <v>0</v>
      </c>
      <c r="Q3" s="84" t="s">
        <v>45</v>
      </c>
      <c r="R3" s="85">
        <f>COUNTIF(D8:D290,"Positive")</f>
        <v>23</v>
      </c>
    </row>
    <row r="4" spans="2:18" ht="43.5">
      <c r="B4" s="30" t="s">
        <v>46</v>
      </c>
      <c r="C4" s="49"/>
      <c r="D4" s="49"/>
      <c r="E4" s="49"/>
      <c r="F4" s="49"/>
      <c r="G4" s="62"/>
      <c r="H4" s="23" t="s">
        <v>47</v>
      </c>
      <c r="I4" s="38"/>
      <c r="J4" s="38"/>
      <c r="K4" s="12"/>
      <c r="L4" s="13" t="s">
        <v>137</v>
      </c>
      <c r="M4" s="22"/>
      <c r="N4" s="17" t="s">
        <v>49</v>
      </c>
      <c r="O4" s="18">
        <f>COUNTIF(K7:K291,0)</f>
        <v>0</v>
      </c>
      <c r="P4" s="5"/>
      <c r="Q4" s="84" t="s">
        <v>50</v>
      </c>
      <c r="R4" s="85">
        <f>COUNTIF(D29:D290,"Negative")</f>
        <v>31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COUNTIF(K29:K293,"Block")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138</v>
      </c>
      <c r="N6" s="19" t="s">
        <v>61</v>
      </c>
      <c r="O6" s="20">
        <f>COUNTIF(K7:K291,".")</f>
        <v>23</v>
      </c>
    </row>
    <row r="7" spans="2:18"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N7" s="21" t="s">
        <v>63</v>
      </c>
      <c r="O7" s="21">
        <f>SUM(O3:O6)</f>
        <v>23</v>
      </c>
    </row>
    <row r="8" spans="2:18">
      <c r="B8" s="292" t="s">
        <v>139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</row>
    <row r="9" spans="2:18" ht="15.75" customHeight="1">
      <c r="B9" s="300" t="s">
        <v>400</v>
      </c>
      <c r="C9" s="300" t="s">
        <v>438</v>
      </c>
      <c r="D9" s="300" t="s">
        <v>66</v>
      </c>
      <c r="E9" s="300"/>
      <c r="F9" s="140"/>
      <c r="G9" s="103">
        <v>1</v>
      </c>
      <c r="H9" s="104" t="s">
        <v>439</v>
      </c>
      <c r="I9" s="104" t="s">
        <v>177</v>
      </c>
      <c r="J9" s="105"/>
      <c r="K9" s="333" t="s">
        <v>633</v>
      </c>
      <c r="L9" s="334"/>
    </row>
    <row r="10" spans="2:18" ht="15.75" customHeight="1">
      <c r="B10" s="300"/>
      <c r="C10" s="300"/>
      <c r="D10" s="300"/>
      <c r="E10" s="300"/>
      <c r="F10" s="140"/>
      <c r="G10" s="103">
        <v>2</v>
      </c>
      <c r="H10" s="104" t="s">
        <v>440</v>
      </c>
      <c r="I10" s="104" t="s">
        <v>441</v>
      </c>
      <c r="J10" s="105"/>
      <c r="K10" s="333"/>
      <c r="L10" s="334"/>
    </row>
    <row r="11" spans="2:18" ht="15.75" customHeight="1">
      <c r="B11" s="300"/>
      <c r="C11" s="300"/>
      <c r="D11" s="300"/>
      <c r="E11" s="300"/>
      <c r="F11" s="140"/>
      <c r="G11" s="103">
        <v>3</v>
      </c>
      <c r="H11" s="104" t="s">
        <v>442</v>
      </c>
      <c r="I11" s="104" t="s">
        <v>441</v>
      </c>
      <c r="J11" s="105"/>
      <c r="K11" s="333"/>
      <c r="L11" s="334"/>
    </row>
    <row r="12" spans="2:18" ht="15.75" customHeight="1">
      <c r="B12" s="300"/>
      <c r="C12" s="300"/>
      <c r="D12" s="300"/>
      <c r="E12" s="300"/>
      <c r="F12" s="140"/>
      <c r="G12" s="103">
        <v>4</v>
      </c>
      <c r="H12" s="104" t="s">
        <v>443</v>
      </c>
      <c r="I12" s="104" t="s">
        <v>441</v>
      </c>
      <c r="J12" s="105"/>
      <c r="K12" s="333"/>
      <c r="L12" s="334"/>
    </row>
    <row r="13" spans="2:18" ht="15.75" customHeight="1">
      <c r="B13" s="300"/>
      <c r="C13" s="300"/>
      <c r="D13" s="300"/>
      <c r="E13" s="300"/>
      <c r="F13" s="140"/>
      <c r="G13" s="103">
        <v>5</v>
      </c>
      <c r="H13" s="104" t="s">
        <v>444</v>
      </c>
      <c r="I13" s="104" t="s">
        <v>445</v>
      </c>
      <c r="J13" s="105"/>
      <c r="K13" s="333"/>
      <c r="L13" s="334"/>
      <c r="O13" s="4" t="s">
        <v>446</v>
      </c>
    </row>
    <row r="14" spans="2:18" ht="15.75" customHeight="1">
      <c r="B14" s="300" t="s">
        <v>400</v>
      </c>
      <c r="C14" s="300" t="s">
        <v>447</v>
      </c>
      <c r="D14" s="300" t="s">
        <v>66</v>
      </c>
      <c r="E14" s="300"/>
      <c r="F14" s="140"/>
      <c r="G14" s="103">
        <v>1</v>
      </c>
      <c r="H14" s="104" t="s">
        <v>439</v>
      </c>
      <c r="I14" s="104" t="s">
        <v>177</v>
      </c>
      <c r="J14" s="105"/>
      <c r="K14" s="333" t="s">
        <v>633</v>
      </c>
      <c r="L14" s="334"/>
    </row>
    <row r="15" spans="2:18" ht="15.75" customHeight="1">
      <c r="B15" s="300"/>
      <c r="C15" s="300"/>
      <c r="D15" s="300"/>
      <c r="E15" s="300"/>
      <c r="F15" s="140"/>
      <c r="G15" s="103">
        <v>2</v>
      </c>
      <c r="H15" s="104" t="s">
        <v>440</v>
      </c>
      <c r="I15" s="104" t="s">
        <v>441</v>
      </c>
      <c r="J15" s="105"/>
      <c r="K15" s="333"/>
      <c r="L15" s="334"/>
    </row>
    <row r="16" spans="2:18" ht="15.75" customHeight="1">
      <c r="B16" s="300"/>
      <c r="C16" s="300"/>
      <c r="D16" s="300"/>
      <c r="E16" s="300"/>
      <c r="F16" s="140"/>
      <c r="G16" s="103">
        <v>3</v>
      </c>
      <c r="H16" s="104" t="s">
        <v>442</v>
      </c>
      <c r="I16" s="104" t="s">
        <v>441</v>
      </c>
      <c r="J16" s="105"/>
      <c r="K16" s="333"/>
      <c r="L16" s="334"/>
    </row>
    <row r="17" spans="2:12" ht="15.75" customHeight="1">
      <c r="B17" s="300"/>
      <c r="C17" s="300"/>
      <c r="D17" s="300"/>
      <c r="E17" s="300"/>
      <c r="F17" s="140"/>
      <c r="G17" s="103">
        <v>4</v>
      </c>
      <c r="H17" s="104" t="s">
        <v>443</v>
      </c>
      <c r="I17" s="104" t="s">
        <v>441</v>
      </c>
      <c r="J17" s="105"/>
      <c r="K17" s="333"/>
      <c r="L17" s="334"/>
    </row>
    <row r="18" spans="2:12" ht="15.75" customHeight="1">
      <c r="B18" s="300"/>
      <c r="C18" s="300"/>
      <c r="D18" s="300"/>
      <c r="E18" s="300"/>
      <c r="F18" s="140"/>
      <c r="G18" s="103">
        <v>5</v>
      </c>
      <c r="H18" s="104" t="s">
        <v>444</v>
      </c>
      <c r="I18" s="104" t="s">
        <v>445</v>
      </c>
      <c r="J18" s="105"/>
      <c r="K18" s="333"/>
      <c r="L18" s="334"/>
    </row>
    <row r="19" spans="2:12" ht="15.75" customHeight="1">
      <c r="B19" s="300" t="s">
        <v>412</v>
      </c>
      <c r="C19" s="300" t="s">
        <v>448</v>
      </c>
      <c r="D19" s="300" t="s">
        <v>66</v>
      </c>
      <c r="E19" s="300"/>
      <c r="F19" s="140"/>
      <c r="G19" s="103">
        <v>1</v>
      </c>
      <c r="H19" s="104" t="s">
        <v>439</v>
      </c>
      <c r="I19" s="104" t="s">
        <v>177</v>
      </c>
      <c r="J19" s="105"/>
      <c r="K19" s="333" t="s">
        <v>633</v>
      </c>
      <c r="L19" s="334"/>
    </row>
    <row r="20" spans="2:12" ht="15.75" customHeight="1">
      <c r="B20" s="300"/>
      <c r="C20" s="300"/>
      <c r="D20" s="300"/>
      <c r="E20" s="300"/>
      <c r="F20" s="140"/>
      <c r="G20" s="103">
        <v>2</v>
      </c>
      <c r="H20" s="104" t="s">
        <v>440</v>
      </c>
      <c r="I20" s="104" t="s">
        <v>441</v>
      </c>
      <c r="J20" s="105"/>
      <c r="K20" s="333"/>
      <c r="L20" s="334"/>
    </row>
    <row r="21" spans="2:12" ht="15.75" customHeight="1">
      <c r="B21" s="300"/>
      <c r="C21" s="300"/>
      <c r="D21" s="300"/>
      <c r="E21" s="300"/>
      <c r="F21" s="140"/>
      <c r="G21" s="103">
        <v>3</v>
      </c>
      <c r="H21" s="104" t="s">
        <v>442</v>
      </c>
      <c r="I21" s="104" t="s">
        <v>441</v>
      </c>
      <c r="J21" s="105"/>
      <c r="K21" s="333"/>
      <c r="L21" s="334"/>
    </row>
    <row r="22" spans="2:12" ht="15.75" customHeight="1">
      <c r="B22" s="300"/>
      <c r="C22" s="300"/>
      <c r="D22" s="300"/>
      <c r="E22" s="300"/>
      <c r="F22" s="140"/>
      <c r="G22" s="103">
        <v>4</v>
      </c>
      <c r="H22" s="104" t="s">
        <v>443</v>
      </c>
      <c r="I22" s="104" t="s">
        <v>441</v>
      </c>
      <c r="J22" s="105"/>
      <c r="K22" s="333"/>
      <c r="L22" s="334"/>
    </row>
    <row r="23" spans="2:12" ht="15.75" customHeight="1">
      <c r="B23" s="300"/>
      <c r="C23" s="300"/>
      <c r="D23" s="300"/>
      <c r="E23" s="300"/>
      <c r="F23" s="140"/>
      <c r="G23" s="103">
        <v>5</v>
      </c>
      <c r="H23" s="104" t="s">
        <v>444</v>
      </c>
      <c r="I23" s="104" t="s">
        <v>445</v>
      </c>
      <c r="J23" s="105"/>
      <c r="K23" s="333"/>
      <c r="L23" s="334"/>
    </row>
    <row r="24" spans="2:12" ht="15.75" customHeight="1">
      <c r="B24" s="300" t="s">
        <v>416</v>
      </c>
      <c r="C24" s="300" t="s">
        <v>449</v>
      </c>
      <c r="D24" s="300" t="s">
        <v>66</v>
      </c>
      <c r="E24" s="300"/>
      <c r="F24" s="140"/>
      <c r="G24" s="103">
        <v>1</v>
      </c>
      <c r="H24" s="104" t="s">
        <v>439</v>
      </c>
      <c r="I24" s="104" t="s">
        <v>177</v>
      </c>
      <c r="J24" s="105"/>
      <c r="K24" s="333" t="s">
        <v>633</v>
      </c>
      <c r="L24" s="334"/>
    </row>
    <row r="25" spans="2:12" ht="15.75" customHeight="1">
      <c r="B25" s="300"/>
      <c r="C25" s="300"/>
      <c r="D25" s="300"/>
      <c r="E25" s="300"/>
      <c r="F25" s="140"/>
      <c r="G25" s="103">
        <v>2</v>
      </c>
      <c r="H25" s="104" t="s">
        <v>440</v>
      </c>
      <c r="I25" s="104" t="s">
        <v>441</v>
      </c>
      <c r="J25" s="105"/>
      <c r="K25" s="333"/>
      <c r="L25" s="334"/>
    </row>
    <row r="26" spans="2:12" ht="15.75" customHeight="1">
      <c r="B26" s="300"/>
      <c r="C26" s="300"/>
      <c r="D26" s="300"/>
      <c r="E26" s="300"/>
      <c r="F26" s="140"/>
      <c r="G26" s="103">
        <v>3</v>
      </c>
      <c r="H26" s="104" t="s">
        <v>442</v>
      </c>
      <c r="I26" s="104" t="s">
        <v>441</v>
      </c>
      <c r="J26" s="105"/>
      <c r="K26" s="333"/>
      <c r="L26" s="334"/>
    </row>
    <row r="27" spans="2:12" ht="15.75" customHeight="1">
      <c r="B27" s="300"/>
      <c r="C27" s="300"/>
      <c r="D27" s="300"/>
      <c r="E27" s="300"/>
      <c r="F27" s="140"/>
      <c r="G27" s="103">
        <v>4</v>
      </c>
      <c r="H27" s="104" t="s">
        <v>443</v>
      </c>
      <c r="I27" s="104" t="s">
        <v>441</v>
      </c>
      <c r="J27" s="105"/>
      <c r="K27" s="333"/>
      <c r="L27" s="334"/>
    </row>
    <row r="28" spans="2:12" ht="15.75" customHeight="1">
      <c r="B28" s="300"/>
      <c r="C28" s="300"/>
      <c r="D28" s="300"/>
      <c r="E28" s="300"/>
      <c r="F28" s="140"/>
      <c r="G28" s="103">
        <v>5</v>
      </c>
      <c r="H28" s="104" t="s">
        <v>444</v>
      </c>
      <c r="I28" s="104" t="s">
        <v>445</v>
      </c>
      <c r="J28" s="105"/>
      <c r="K28" s="333"/>
      <c r="L28" s="334"/>
    </row>
    <row r="29" spans="2:12" ht="15.75" customHeight="1">
      <c r="B29" s="300" t="s">
        <v>400</v>
      </c>
      <c r="C29" s="300" t="s">
        <v>450</v>
      </c>
      <c r="D29" s="300" t="s">
        <v>66</v>
      </c>
      <c r="E29" s="300"/>
      <c r="F29" s="140"/>
      <c r="G29" s="103">
        <v>1</v>
      </c>
      <c r="H29" s="104" t="s">
        <v>439</v>
      </c>
      <c r="I29" s="104" t="s">
        <v>177</v>
      </c>
      <c r="J29" s="105"/>
      <c r="K29" s="333" t="s">
        <v>633</v>
      </c>
      <c r="L29" s="334" t="s">
        <v>451</v>
      </c>
    </row>
    <row r="30" spans="2:12" ht="15.75" customHeight="1">
      <c r="B30" s="300"/>
      <c r="C30" s="300"/>
      <c r="D30" s="300"/>
      <c r="E30" s="300"/>
      <c r="F30" s="140"/>
      <c r="G30" s="103">
        <v>2</v>
      </c>
      <c r="H30" s="104" t="s">
        <v>440</v>
      </c>
      <c r="I30" s="104" t="s">
        <v>441</v>
      </c>
      <c r="J30" s="105"/>
      <c r="K30" s="333"/>
      <c r="L30" s="334"/>
    </row>
    <row r="31" spans="2:12">
      <c r="B31" s="300"/>
      <c r="C31" s="300"/>
      <c r="D31" s="300"/>
      <c r="E31" s="300"/>
      <c r="F31" s="140"/>
      <c r="G31" s="103">
        <v>3</v>
      </c>
      <c r="H31" s="104" t="s">
        <v>442</v>
      </c>
      <c r="I31" s="104" t="s">
        <v>441</v>
      </c>
      <c r="J31" s="105"/>
      <c r="K31" s="333"/>
      <c r="L31" s="334"/>
    </row>
    <row r="32" spans="2:12" ht="15" customHeight="1">
      <c r="B32" s="300"/>
      <c r="C32" s="300"/>
      <c r="D32" s="300"/>
      <c r="E32" s="300"/>
      <c r="F32" s="140"/>
      <c r="G32" s="103">
        <v>4</v>
      </c>
      <c r="H32" s="104" t="s">
        <v>443</v>
      </c>
      <c r="I32" s="104" t="s">
        <v>441</v>
      </c>
      <c r="J32" s="105"/>
      <c r="K32" s="333"/>
      <c r="L32" s="334"/>
    </row>
    <row r="33" spans="2:12" ht="40.5" customHeight="1">
      <c r="B33" s="300"/>
      <c r="C33" s="300"/>
      <c r="D33" s="300"/>
      <c r="E33" s="300"/>
      <c r="F33" s="140"/>
      <c r="G33" s="103">
        <v>5</v>
      </c>
      <c r="H33" s="104" t="s">
        <v>444</v>
      </c>
      <c r="I33" s="104" t="s">
        <v>445</v>
      </c>
      <c r="J33" s="105"/>
      <c r="K33" s="333"/>
      <c r="L33" s="334"/>
    </row>
    <row r="34" spans="2:12" ht="27.65" customHeight="1">
      <c r="B34" s="300" t="s">
        <v>412</v>
      </c>
      <c r="C34" s="300" t="s">
        <v>452</v>
      </c>
      <c r="D34" s="300" t="s">
        <v>66</v>
      </c>
      <c r="E34" s="300"/>
      <c r="F34" s="140"/>
      <c r="G34" s="103">
        <v>1</v>
      </c>
      <c r="H34" s="104" t="s">
        <v>439</v>
      </c>
      <c r="I34" s="104" t="s">
        <v>177</v>
      </c>
      <c r="J34" s="105"/>
      <c r="K34" s="333" t="s">
        <v>633</v>
      </c>
      <c r="L34" s="334"/>
    </row>
    <row r="35" spans="2:12" ht="27.65" customHeight="1">
      <c r="B35" s="300"/>
      <c r="C35" s="300"/>
      <c r="D35" s="300"/>
      <c r="E35" s="300"/>
      <c r="F35" s="140"/>
      <c r="G35" s="103">
        <v>2</v>
      </c>
      <c r="H35" s="104" t="s">
        <v>440</v>
      </c>
      <c r="I35" s="104" t="s">
        <v>441</v>
      </c>
      <c r="J35" s="105"/>
      <c r="K35" s="333"/>
      <c r="L35" s="334"/>
    </row>
    <row r="36" spans="2:12" ht="27.65" customHeight="1">
      <c r="B36" s="300"/>
      <c r="C36" s="300"/>
      <c r="D36" s="300"/>
      <c r="E36" s="300"/>
      <c r="F36" s="140"/>
      <c r="G36" s="103">
        <v>3</v>
      </c>
      <c r="H36" s="104" t="s">
        <v>442</v>
      </c>
      <c r="I36" s="104" t="s">
        <v>441</v>
      </c>
      <c r="J36" s="105"/>
      <c r="K36" s="333"/>
      <c r="L36" s="334"/>
    </row>
    <row r="37" spans="2:12" ht="27.65" customHeight="1">
      <c r="B37" s="300"/>
      <c r="C37" s="300"/>
      <c r="D37" s="300"/>
      <c r="E37" s="300"/>
      <c r="F37" s="140"/>
      <c r="G37" s="103">
        <v>4</v>
      </c>
      <c r="H37" s="104" t="s">
        <v>443</v>
      </c>
      <c r="I37" s="104" t="s">
        <v>441</v>
      </c>
      <c r="J37" s="105"/>
      <c r="K37" s="333"/>
      <c r="L37" s="334"/>
    </row>
    <row r="38" spans="2:12" ht="27.65" customHeight="1">
      <c r="B38" s="300"/>
      <c r="C38" s="300"/>
      <c r="D38" s="300"/>
      <c r="E38" s="300"/>
      <c r="F38" s="140"/>
      <c r="G38" s="103">
        <v>5</v>
      </c>
      <c r="H38" s="104" t="s">
        <v>444</v>
      </c>
      <c r="I38" s="104" t="s">
        <v>445</v>
      </c>
      <c r="J38" s="105"/>
      <c r="K38" s="333"/>
      <c r="L38" s="334"/>
    </row>
    <row r="39" spans="2:12" ht="27.65" customHeight="1">
      <c r="B39" s="300" t="s">
        <v>416</v>
      </c>
      <c r="C39" s="300" t="s">
        <v>453</v>
      </c>
      <c r="D39" s="300" t="s">
        <v>66</v>
      </c>
      <c r="E39" s="300"/>
      <c r="F39" s="140"/>
      <c r="G39" s="103">
        <v>1</v>
      </c>
      <c r="H39" s="104" t="s">
        <v>439</v>
      </c>
      <c r="I39" s="104" t="s">
        <v>177</v>
      </c>
      <c r="J39" s="105"/>
      <c r="K39" s="333" t="s">
        <v>633</v>
      </c>
      <c r="L39" s="334"/>
    </row>
    <row r="40" spans="2:12" ht="36" customHeight="1">
      <c r="B40" s="300"/>
      <c r="C40" s="300"/>
      <c r="D40" s="300"/>
      <c r="E40" s="300"/>
      <c r="F40" s="140"/>
      <c r="G40" s="103">
        <v>2</v>
      </c>
      <c r="H40" s="104" t="s">
        <v>440</v>
      </c>
      <c r="I40" s="104" t="s">
        <v>441</v>
      </c>
      <c r="J40" s="105"/>
      <c r="K40" s="333"/>
      <c r="L40" s="334"/>
    </row>
    <row r="41" spans="2:12" ht="15" customHeight="1">
      <c r="B41" s="300"/>
      <c r="C41" s="300"/>
      <c r="D41" s="300"/>
      <c r="E41" s="300"/>
      <c r="F41" s="140"/>
      <c r="G41" s="103">
        <v>3</v>
      </c>
      <c r="H41" s="104" t="s">
        <v>442</v>
      </c>
      <c r="I41" s="104" t="s">
        <v>441</v>
      </c>
      <c r="J41" s="105"/>
      <c r="K41" s="333"/>
      <c r="L41" s="334"/>
    </row>
    <row r="42" spans="2:12">
      <c r="B42" s="300"/>
      <c r="C42" s="300"/>
      <c r="D42" s="300"/>
      <c r="E42" s="300"/>
      <c r="F42" s="140"/>
      <c r="G42" s="103">
        <v>4</v>
      </c>
      <c r="H42" s="104" t="s">
        <v>443</v>
      </c>
      <c r="I42" s="104" t="s">
        <v>441</v>
      </c>
      <c r="J42" s="105"/>
      <c r="K42" s="333"/>
      <c r="L42" s="334"/>
    </row>
    <row r="43" spans="2:12" ht="15" customHeight="1">
      <c r="B43" s="300"/>
      <c r="C43" s="300"/>
      <c r="D43" s="300"/>
      <c r="E43" s="300"/>
      <c r="F43" s="140"/>
      <c r="G43" s="103">
        <v>5</v>
      </c>
      <c r="H43" s="104" t="s">
        <v>444</v>
      </c>
      <c r="I43" s="104" t="s">
        <v>445</v>
      </c>
      <c r="J43" s="105"/>
      <c r="K43" s="333"/>
      <c r="L43" s="334"/>
    </row>
    <row r="44" spans="2:12" ht="15" customHeight="1">
      <c r="B44" s="300" t="s">
        <v>416</v>
      </c>
      <c r="C44" s="300" t="s">
        <v>454</v>
      </c>
      <c r="D44" s="300" t="s">
        <v>66</v>
      </c>
      <c r="E44" s="300"/>
      <c r="F44" s="140"/>
      <c r="G44" s="103">
        <v>1</v>
      </c>
      <c r="H44" s="104" t="s">
        <v>439</v>
      </c>
      <c r="I44" s="104" t="s">
        <v>177</v>
      </c>
      <c r="J44" s="105"/>
      <c r="K44" s="333" t="s">
        <v>633</v>
      </c>
      <c r="L44" s="334" t="s">
        <v>455</v>
      </c>
    </row>
    <row r="45" spans="2:12" ht="28" customHeight="1">
      <c r="B45" s="300"/>
      <c r="C45" s="300"/>
      <c r="D45" s="300"/>
      <c r="E45" s="300"/>
      <c r="F45" s="140"/>
      <c r="G45" s="103">
        <v>2</v>
      </c>
      <c r="H45" s="104" t="s">
        <v>440</v>
      </c>
      <c r="I45" s="104" t="s">
        <v>441</v>
      </c>
      <c r="J45" s="105"/>
      <c r="K45" s="333"/>
      <c r="L45" s="334"/>
    </row>
    <row r="46" spans="2:12" ht="28" customHeight="1">
      <c r="B46" s="300"/>
      <c r="C46" s="300"/>
      <c r="D46" s="300"/>
      <c r="E46" s="300"/>
      <c r="F46" s="140"/>
      <c r="G46" s="103">
        <v>3</v>
      </c>
      <c r="H46" s="104" t="s">
        <v>442</v>
      </c>
      <c r="I46" s="104" t="s">
        <v>441</v>
      </c>
      <c r="J46" s="105"/>
      <c r="K46" s="333"/>
      <c r="L46" s="334"/>
    </row>
    <row r="47" spans="2:12" ht="28" customHeight="1">
      <c r="B47" s="300"/>
      <c r="C47" s="300"/>
      <c r="D47" s="300"/>
      <c r="E47" s="300"/>
      <c r="F47" s="140"/>
      <c r="G47" s="103">
        <v>4</v>
      </c>
      <c r="H47" s="104" t="s">
        <v>443</v>
      </c>
      <c r="I47" s="104" t="s">
        <v>441</v>
      </c>
      <c r="J47" s="105"/>
      <c r="K47" s="333"/>
      <c r="L47" s="334"/>
    </row>
    <row r="48" spans="2:12" ht="28" customHeight="1">
      <c r="B48" s="300"/>
      <c r="C48" s="300"/>
      <c r="D48" s="300"/>
      <c r="E48" s="300"/>
      <c r="F48" s="140"/>
      <c r="G48" s="103">
        <v>5</v>
      </c>
      <c r="H48" s="104" t="s">
        <v>444</v>
      </c>
      <c r="I48" s="104" t="s">
        <v>445</v>
      </c>
      <c r="J48" s="105"/>
      <c r="K48" s="333"/>
      <c r="L48" s="334"/>
    </row>
    <row r="49" spans="2:12" ht="15" customHeight="1">
      <c r="B49" s="350" t="s">
        <v>456</v>
      </c>
      <c r="C49" s="351"/>
      <c r="D49" s="351"/>
      <c r="E49" s="351"/>
      <c r="F49" s="351"/>
      <c r="G49" s="351"/>
      <c r="H49" s="351"/>
      <c r="I49" s="351"/>
      <c r="J49" s="351"/>
      <c r="K49" s="351"/>
      <c r="L49" s="352"/>
    </row>
    <row r="50" spans="2:12" ht="15" customHeight="1">
      <c r="B50" s="268" t="s">
        <v>416</v>
      </c>
      <c r="C50" s="268" t="s">
        <v>457</v>
      </c>
      <c r="D50" s="268" t="s">
        <v>66</v>
      </c>
      <c r="E50" s="268"/>
      <c r="F50" s="133"/>
      <c r="G50" s="167">
        <v>1</v>
      </c>
      <c r="H50" s="148" t="s">
        <v>439</v>
      </c>
      <c r="I50" s="148" t="s">
        <v>177</v>
      </c>
      <c r="J50" s="156"/>
      <c r="K50" s="281" t="s">
        <v>633</v>
      </c>
      <c r="L50" s="285"/>
    </row>
    <row r="51" spans="2:12" ht="15" customHeight="1">
      <c r="B51" s="268"/>
      <c r="C51" s="268"/>
      <c r="D51" s="268"/>
      <c r="E51" s="268"/>
      <c r="F51" s="133"/>
      <c r="G51" s="167">
        <v>2</v>
      </c>
      <c r="H51" s="148" t="s">
        <v>440</v>
      </c>
      <c r="I51" s="148" t="s">
        <v>441</v>
      </c>
      <c r="J51" s="156"/>
      <c r="K51" s="281"/>
      <c r="L51" s="285"/>
    </row>
    <row r="52" spans="2:12">
      <c r="B52" s="268"/>
      <c r="C52" s="268"/>
      <c r="D52" s="268"/>
      <c r="E52" s="268"/>
      <c r="F52" s="133"/>
      <c r="G52" s="167">
        <v>3</v>
      </c>
      <c r="H52" s="148" t="s">
        <v>442</v>
      </c>
      <c r="I52" s="148" t="s">
        <v>441</v>
      </c>
      <c r="J52" s="156"/>
      <c r="K52" s="281"/>
      <c r="L52" s="285"/>
    </row>
    <row r="53" spans="2:12">
      <c r="B53" s="268"/>
      <c r="C53" s="268"/>
      <c r="D53" s="268"/>
      <c r="E53" s="268"/>
      <c r="F53" s="133"/>
      <c r="G53" s="167">
        <v>4</v>
      </c>
      <c r="H53" s="148" t="s">
        <v>443</v>
      </c>
      <c r="I53" s="148" t="s">
        <v>441</v>
      </c>
      <c r="J53" s="156"/>
      <c r="K53" s="281"/>
      <c r="L53" s="285"/>
    </row>
    <row r="54" spans="2:12" ht="43.5">
      <c r="B54" s="268"/>
      <c r="C54" s="268"/>
      <c r="D54" s="268"/>
      <c r="E54" s="268"/>
      <c r="F54" s="133"/>
      <c r="G54" s="167">
        <v>5</v>
      </c>
      <c r="H54" s="148" t="s">
        <v>444</v>
      </c>
      <c r="I54" s="148" t="s">
        <v>445</v>
      </c>
      <c r="J54" s="156"/>
      <c r="K54" s="281"/>
      <c r="L54" s="285"/>
    </row>
    <row r="55" spans="2:12">
      <c r="B55" s="328" t="s">
        <v>416</v>
      </c>
      <c r="C55" s="328" t="s">
        <v>458</v>
      </c>
      <c r="D55" s="328" t="s">
        <v>66</v>
      </c>
      <c r="E55" s="328"/>
      <c r="F55" s="160"/>
      <c r="G55" s="168">
        <v>1</v>
      </c>
      <c r="H55" s="169" t="s">
        <v>439</v>
      </c>
      <c r="I55" s="169" t="s">
        <v>177</v>
      </c>
      <c r="J55" s="170"/>
      <c r="K55" s="290" t="s">
        <v>633</v>
      </c>
      <c r="L55" s="304"/>
    </row>
    <row r="56" spans="2:12">
      <c r="B56" s="268"/>
      <c r="C56" s="268"/>
      <c r="D56" s="268"/>
      <c r="E56" s="268"/>
      <c r="F56" s="133"/>
      <c r="G56" s="167">
        <v>2</v>
      </c>
      <c r="H56" s="148" t="s">
        <v>440</v>
      </c>
      <c r="I56" s="148" t="s">
        <v>441</v>
      </c>
      <c r="J56" s="156"/>
      <c r="K56" s="281"/>
      <c r="L56" s="285"/>
    </row>
    <row r="57" spans="2:12">
      <c r="B57" s="268"/>
      <c r="C57" s="268"/>
      <c r="D57" s="268"/>
      <c r="E57" s="268"/>
      <c r="F57" s="133"/>
      <c r="G57" s="167">
        <v>3</v>
      </c>
      <c r="H57" s="148" t="s">
        <v>442</v>
      </c>
      <c r="I57" s="148" t="s">
        <v>441</v>
      </c>
      <c r="J57" s="156"/>
      <c r="K57" s="281"/>
      <c r="L57" s="285"/>
    </row>
    <row r="58" spans="2:12">
      <c r="B58" s="268"/>
      <c r="C58" s="268"/>
      <c r="D58" s="268"/>
      <c r="E58" s="268"/>
      <c r="F58" s="133"/>
      <c r="G58" s="167">
        <v>4</v>
      </c>
      <c r="H58" s="148" t="s">
        <v>443</v>
      </c>
      <c r="I58" s="148" t="s">
        <v>441</v>
      </c>
      <c r="J58" s="156"/>
      <c r="K58" s="281"/>
      <c r="L58" s="285"/>
    </row>
    <row r="59" spans="2:12" ht="43.5">
      <c r="B59" s="268"/>
      <c r="C59" s="268"/>
      <c r="D59" s="268"/>
      <c r="E59" s="268"/>
      <c r="F59" s="133"/>
      <c r="G59" s="167">
        <v>5</v>
      </c>
      <c r="H59" s="148" t="s">
        <v>444</v>
      </c>
      <c r="I59" s="148" t="s">
        <v>445</v>
      </c>
      <c r="J59" s="156"/>
      <c r="K59" s="281"/>
      <c r="L59" s="285"/>
    </row>
    <row r="60" spans="2:12">
      <c r="B60" s="268" t="s">
        <v>416</v>
      </c>
      <c r="C60" s="268" t="s">
        <v>459</v>
      </c>
      <c r="D60" s="268" t="s">
        <v>66</v>
      </c>
      <c r="E60" s="268"/>
      <c r="F60" s="133"/>
      <c r="G60" s="167">
        <v>1</v>
      </c>
      <c r="H60" s="148" t="s">
        <v>439</v>
      </c>
      <c r="I60" s="148" t="s">
        <v>177</v>
      </c>
      <c r="J60" s="156"/>
      <c r="K60" s="281" t="s">
        <v>633</v>
      </c>
      <c r="L60" s="285"/>
    </row>
    <row r="61" spans="2:12">
      <c r="B61" s="268"/>
      <c r="C61" s="268"/>
      <c r="D61" s="268"/>
      <c r="E61" s="268"/>
      <c r="F61" s="133"/>
      <c r="G61" s="167">
        <v>2</v>
      </c>
      <c r="H61" s="148" t="s">
        <v>440</v>
      </c>
      <c r="I61" s="148" t="s">
        <v>441</v>
      </c>
      <c r="J61" s="156"/>
      <c r="K61" s="281"/>
      <c r="L61" s="285"/>
    </row>
    <row r="62" spans="2:12">
      <c r="B62" s="268"/>
      <c r="C62" s="268"/>
      <c r="D62" s="268"/>
      <c r="E62" s="268"/>
      <c r="F62" s="133"/>
      <c r="G62" s="167">
        <v>3</v>
      </c>
      <c r="H62" s="148" t="s">
        <v>442</v>
      </c>
      <c r="I62" s="148" t="s">
        <v>441</v>
      </c>
      <c r="J62" s="156"/>
      <c r="K62" s="281"/>
      <c r="L62" s="285"/>
    </row>
    <row r="63" spans="2:12">
      <c r="B63" s="268"/>
      <c r="C63" s="268"/>
      <c r="D63" s="268"/>
      <c r="E63" s="268"/>
      <c r="F63" s="133"/>
      <c r="G63" s="167">
        <v>4</v>
      </c>
      <c r="H63" s="148" t="s">
        <v>443</v>
      </c>
      <c r="I63" s="148" t="s">
        <v>441</v>
      </c>
      <c r="J63" s="156"/>
      <c r="K63" s="281"/>
      <c r="L63" s="285"/>
    </row>
    <row r="64" spans="2:12" ht="43.5">
      <c r="B64" s="268"/>
      <c r="C64" s="268"/>
      <c r="D64" s="268"/>
      <c r="E64" s="268"/>
      <c r="F64" s="133"/>
      <c r="G64" s="167">
        <v>5</v>
      </c>
      <c r="H64" s="148" t="s">
        <v>444</v>
      </c>
      <c r="I64" s="148" t="s">
        <v>445</v>
      </c>
      <c r="J64" s="156"/>
      <c r="K64" s="281"/>
      <c r="L64" s="285"/>
    </row>
    <row r="65" spans="2:12">
      <c r="B65" s="268" t="s">
        <v>416</v>
      </c>
      <c r="C65" s="268" t="s">
        <v>460</v>
      </c>
      <c r="D65" s="268" t="s">
        <v>66</v>
      </c>
      <c r="E65" s="268"/>
      <c r="F65" s="133"/>
      <c r="G65" s="167">
        <v>1</v>
      </c>
      <c r="H65" s="148" t="s">
        <v>439</v>
      </c>
      <c r="I65" s="148" t="s">
        <v>177</v>
      </c>
      <c r="J65" s="156"/>
      <c r="K65" s="281" t="s">
        <v>633</v>
      </c>
      <c r="L65" s="285" t="s">
        <v>461</v>
      </c>
    </row>
    <row r="66" spans="2:12">
      <c r="B66" s="268"/>
      <c r="C66" s="268"/>
      <c r="D66" s="268"/>
      <c r="E66" s="268"/>
      <c r="F66" s="133"/>
      <c r="G66" s="167">
        <v>2</v>
      </c>
      <c r="H66" s="148" t="s">
        <v>440</v>
      </c>
      <c r="I66" s="148" t="s">
        <v>441</v>
      </c>
      <c r="J66" s="156"/>
      <c r="K66" s="281"/>
      <c r="L66" s="285"/>
    </row>
    <row r="67" spans="2:12">
      <c r="B67" s="268"/>
      <c r="C67" s="268"/>
      <c r="D67" s="268"/>
      <c r="E67" s="268"/>
      <c r="F67" s="133"/>
      <c r="G67" s="167">
        <v>3</v>
      </c>
      <c r="H67" s="148" t="s">
        <v>442</v>
      </c>
      <c r="I67" s="148" t="s">
        <v>441</v>
      </c>
      <c r="J67" s="156"/>
      <c r="K67" s="281"/>
      <c r="L67" s="285"/>
    </row>
    <row r="68" spans="2:12">
      <c r="B68" s="268"/>
      <c r="C68" s="268"/>
      <c r="D68" s="268"/>
      <c r="E68" s="268"/>
      <c r="F68" s="133"/>
      <c r="G68" s="167">
        <v>4</v>
      </c>
      <c r="H68" s="148" t="s">
        <v>443</v>
      </c>
      <c r="I68" s="148" t="s">
        <v>441</v>
      </c>
      <c r="J68" s="156"/>
      <c r="K68" s="281"/>
      <c r="L68" s="285"/>
    </row>
    <row r="69" spans="2:12" ht="43.5">
      <c r="B69" s="268"/>
      <c r="C69" s="268"/>
      <c r="D69" s="268"/>
      <c r="E69" s="268"/>
      <c r="F69" s="133"/>
      <c r="G69" s="167">
        <v>5</v>
      </c>
      <c r="H69" s="148" t="s">
        <v>444</v>
      </c>
      <c r="I69" s="148" t="s">
        <v>445</v>
      </c>
      <c r="J69" s="156"/>
      <c r="K69" s="281"/>
      <c r="L69" s="285"/>
    </row>
    <row r="70" spans="2:12">
      <c r="B70" s="328" t="s">
        <v>416</v>
      </c>
      <c r="C70" s="328" t="s">
        <v>462</v>
      </c>
      <c r="D70" s="328" t="s">
        <v>66</v>
      </c>
      <c r="E70" s="328"/>
      <c r="F70" s="160"/>
      <c r="G70" s="168">
        <v>1</v>
      </c>
      <c r="H70" s="169" t="s">
        <v>439</v>
      </c>
      <c r="I70" s="169" t="s">
        <v>177</v>
      </c>
      <c r="J70" s="170"/>
      <c r="K70" s="290" t="s">
        <v>633</v>
      </c>
      <c r="L70" s="304"/>
    </row>
    <row r="71" spans="2:12">
      <c r="B71" s="268"/>
      <c r="C71" s="268"/>
      <c r="D71" s="268"/>
      <c r="E71" s="268"/>
      <c r="F71" s="133"/>
      <c r="G71" s="167">
        <v>2</v>
      </c>
      <c r="H71" s="148" t="s">
        <v>440</v>
      </c>
      <c r="I71" s="148" t="s">
        <v>441</v>
      </c>
      <c r="J71" s="156"/>
      <c r="K71" s="281"/>
      <c r="L71" s="285"/>
    </row>
    <row r="72" spans="2:12">
      <c r="B72" s="268"/>
      <c r="C72" s="268"/>
      <c r="D72" s="268"/>
      <c r="E72" s="268"/>
      <c r="F72" s="133"/>
      <c r="G72" s="167">
        <v>3</v>
      </c>
      <c r="H72" s="148" t="s">
        <v>442</v>
      </c>
      <c r="I72" s="148" t="s">
        <v>441</v>
      </c>
      <c r="J72" s="156"/>
      <c r="K72" s="281"/>
      <c r="L72" s="285"/>
    </row>
    <row r="73" spans="2:12">
      <c r="B73" s="268"/>
      <c r="C73" s="268"/>
      <c r="D73" s="268"/>
      <c r="E73" s="268"/>
      <c r="F73" s="133"/>
      <c r="G73" s="167">
        <v>4</v>
      </c>
      <c r="H73" s="148" t="s">
        <v>443</v>
      </c>
      <c r="I73" s="148" t="s">
        <v>441</v>
      </c>
      <c r="J73" s="156"/>
      <c r="K73" s="281"/>
      <c r="L73" s="285"/>
    </row>
    <row r="74" spans="2:12" ht="43.5">
      <c r="B74" s="268"/>
      <c r="C74" s="268"/>
      <c r="D74" s="268"/>
      <c r="E74" s="268"/>
      <c r="F74" s="133"/>
      <c r="G74" s="167">
        <v>5</v>
      </c>
      <c r="H74" s="148" t="s">
        <v>444</v>
      </c>
      <c r="I74" s="148" t="s">
        <v>445</v>
      </c>
      <c r="J74" s="156"/>
      <c r="K74" s="281"/>
      <c r="L74" s="285"/>
    </row>
    <row r="75" spans="2:12">
      <c r="B75" s="328" t="s">
        <v>416</v>
      </c>
      <c r="C75" s="328" t="s">
        <v>463</v>
      </c>
      <c r="D75" s="328" t="s">
        <v>66</v>
      </c>
      <c r="E75" s="328"/>
      <c r="F75" s="160"/>
      <c r="G75" s="168">
        <v>1</v>
      </c>
      <c r="H75" s="169" t="s">
        <v>439</v>
      </c>
      <c r="I75" s="169" t="s">
        <v>177</v>
      </c>
      <c r="J75" s="170"/>
      <c r="K75" s="290" t="s">
        <v>633</v>
      </c>
      <c r="L75" s="285" t="s">
        <v>461</v>
      </c>
    </row>
    <row r="76" spans="2:12">
      <c r="B76" s="268"/>
      <c r="C76" s="268"/>
      <c r="D76" s="268"/>
      <c r="E76" s="268"/>
      <c r="F76" s="133"/>
      <c r="G76" s="167">
        <v>2</v>
      </c>
      <c r="H76" s="148" t="s">
        <v>440</v>
      </c>
      <c r="I76" s="148" t="s">
        <v>441</v>
      </c>
      <c r="J76" s="156"/>
      <c r="K76" s="281"/>
      <c r="L76" s="285"/>
    </row>
    <row r="77" spans="2:12">
      <c r="B77" s="268"/>
      <c r="C77" s="268"/>
      <c r="D77" s="268"/>
      <c r="E77" s="268"/>
      <c r="F77" s="133"/>
      <c r="G77" s="167">
        <v>3</v>
      </c>
      <c r="H77" s="148" t="s">
        <v>442</v>
      </c>
      <c r="I77" s="148" t="s">
        <v>441</v>
      </c>
      <c r="J77" s="156"/>
      <c r="K77" s="281"/>
      <c r="L77" s="285"/>
    </row>
    <row r="78" spans="2:12">
      <c r="B78" s="268"/>
      <c r="C78" s="268"/>
      <c r="D78" s="268"/>
      <c r="E78" s="268"/>
      <c r="F78" s="133"/>
      <c r="G78" s="167">
        <v>4</v>
      </c>
      <c r="H78" s="148" t="s">
        <v>443</v>
      </c>
      <c r="I78" s="148" t="s">
        <v>441</v>
      </c>
      <c r="J78" s="156"/>
      <c r="K78" s="281"/>
      <c r="L78" s="285"/>
    </row>
    <row r="79" spans="2:12" ht="43.5">
      <c r="B79" s="268"/>
      <c r="C79" s="268"/>
      <c r="D79" s="268"/>
      <c r="E79" s="268"/>
      <c r="F79" s="133"/>
      <c r="G79" s="167">
        <v>5</v>
      </c>
      <c r="H79" s="148" t="s">
        <v>444</v>
      </c>
      <c r="I79" s="148" t="s">
        <v>445</v>
      </c>
      <c r="J79" s="156"/>
      <c r="K79" s="281"/>
      <c r="L79" s="285"/>
    </row>
    <row r="80" spans="2:12">
      <c r="B80" s="328" t="s">
        <v>416</v>
      </c>
      <c r="C80" s="328" t="s">
        <v>464</v>
      </c>
      <c r="D80" s="328" t="s">
        <v>66</v>
      </c>
      <c r="E80" s="328"/>
      <c r="F80" s="160"/>
      <c r="G80" s="168">
        <v>1</v>
      </c>
      <c r="H80" s="169" t="s">
        <v>439</v>
      </c>
      <c r="I80" s="169" t="s">
        <v>177</v>
      </c>
      <c r="J80" s="170"/>
      <c r="K80" s="290" t="s">
        <v>633</v>
      </c>
      <c r="L80" s="304"/>
    </row>
    <row r="81" spans="2:12">
      <c r="B81" s="268"/>
      <c r="C81" s="268"/>
      <c r="D81" s="268"/>
      <c r="E81" s="268"/>
      <c r="F81" s="133"/>
      <c r="G81" s="167">
        <v>2</v>
      </c>
      <c r="H81" s="148" t="s">
        <v>440</v>
      </c>
      <c r="I81" s="148" t="s">
        <v>441</v>
      </c>
      <c r="J81" s="156"/>
      <c r="K81" s="281"/>
      <c r="L81" s="285"/>
    </row>
    <row r="82" spans="2:12">
      <c r="B82" s="268"/>
      <c r="C82" s="268"/>
      <c r="D82" s="268"/>
      <c r="E82" s="268"/>
      <c r="F82" s="133"/>
      <c r="G82" s="167">
        <v>3</v>
      </c>
      <c r="H82" s="148" t="s">
        <v>442</v>
      </c>
      <c r="I82" s="148" t="s">
        <v>441</v>
      </c>
      <c r="J82" s="156"/>
      <c r="K82" s="281"/>
      <c r="L82" s="285"/>
    </row>
    <row r="83" spans="2:12">
      <c r="B83" s="268"/>
      <c r="C83" s="268"/>
      <c r="D83" s="268"/>
      <c r="E83" s="268"/>
      <c r="F83" s="133"/>
      <c r="G83" s="167">
        <v>4</v>
      </c>
      <c r="H83" s="148" t="s">
        <v>443</v>
      </c>
      <c r="I83" s="148" t="s">
        <v>441</v>
      </c>
      <c r="J83" s="156"/>
      <c r="K83" s="281"/>
      <c r="L83" s="285"/>
    </row>
    <row r="84" spans="2:12" ht="43.5">
      <c r="B84" s="268"/>
      <c r="C84" s="268"/>
      <c r="D84" s="268"/>
      <c r="E84" s="268"/>
      <c r="F84" s="133"/>
      <c r="G84" s="167">
        <v>5</v>
      </c>
      <c r="H84" s="148" t="s">
        <v>444</v>
      </c>
      <c r="I84" s="148" t="s">
        <v>445</v>
      </c>
      <c r="J84" s="156"/>
      <c r="K84" s="281"/>
      <c r="L84" s="285"/>
    </row>
    <row r="85" spans="2:12">
      <c r="B85" s="328" t="s">
        <v>416</v>
      </c>
      <c r="C85" s="328" t="s">
        <v>465</v>
      </c>
      <c r="D85" s="328" t="s">
        <v>66</v>
      </c>
      <c r="E85" s="328"/>
      <c r="F85" s="160"/>
      <c r="G85" s="168">
        <v>1</v>
      </c>
      <c r="H85" s="169" t="s">
        <v>439</v>
      </c>
      <c r="I85" s="169" t="s">
        <v>177</v>
      </c>
      <c r="J85" s="170"/>
      <c r="K85" s="290" t="s">
        <v>633</v>
      </c>
      <c r="L85" s="304" t="s">
        <v>466</v>
      </c>
    </row>
    <row r="86" spans="2:12">
      <c r="B86" s="268"/>
      <c r="C86" s="268"/>
      <c r="D86" s="268"/>
      <c r="E86" s="268"/>
      <c r="F86" s="133"/>
      <c r="G86" s="167">
        <v>2</v>
      </c>
      <c r="H86" s="148" t="s">
        <v>440</v>
      </c>
      <c r="I86" s="148" t="s">
        <v>441</v>
      </c>
      <c r="J86" s="156"/>
      <c r="K86" s="281"/>
      <c r="L86" s="285"/>
    </row>
    <row r="87" spans="2:12">
      <c r="B87" s="268"/>
      <c r="C87" s="268"/>
      <c r="D87" s="268"/>
      <c r="E87" s="268"/>
      <c r="F87" s="133"/>
      <c r="G87" s="167">
        <v>3</v>
      </c>
      <c r="H87" s="148" t="s">
        <v>442</v>
      </c>
      <c r="I87" s="148" t="s">
        <v>441</v>
      </c>
      <c r="J87" s="156"/>
      <c r="K87" s="281"/>
      <c r="L87" s="285"/>
    </row>
    <row r="88" spans="2:12">
      <c r="B88" s="268"/>
      <c r="C88" s="268"/>
      <c r="D88" s="268"/>
      <c r="E88" s="268"/>
      <c r="F88" s="133"/>
      <c r="G88" s="167">
        <v>4</v>
      </c>
      <c r="H88" s="148" t="s">
        <v>443</v>
      </c>
      <c r="I88" s="148" t="s">
        <v>441</v>
      </c>
      <c r="J88" s="156"/>
      <c r="K88" s="281"/>
      <c r="L88" s="285"/>
    </row>
    <row r="89" spans="2:12" ht="43.5">
      <c r="B89" s="268"/>
      <c r="C89" s="268"/>
      <c r="D89" s="268"/>
      <c r="E89" s="268"/>
      <c r="F89" s="133"/>
      <c r="G89" s="167">
        <v>5</v>
      </c>
      <c r="H89" s="148" t="s">
        <v>444</v>
      </c>
      <c r="I89" s="148" t="s">
        <v>445</v>
      </c>
      <c r="J89" s="156"/>
      <c r="K89" s="281"/>
      <c r="L89" s="285"/>
    </row>
    <row r="90" spans="2:12">
      <c r="B90" s="347" t="s">
        <v>467</v>
      </c>
      <c r="C90" s="348"/>
      <c r="D90" s="348"/>
      <c r="E90" s="348"/>
      <c r="F90" s="348"/>
      <c r="G90" s="348"/>
      <c r="H90" s="348"/>
      <c r="I90" s="348"/>
      <c r="J90" s="348"/>
      <c r="K90" s="348"/>
      <c r="L90" s="349"/>
    </row>
    <row r="91" spans="2:12">
      <c r="B91" s="268" t="s">
        <v>468</v>
      </c>
      <c r="C91" s="268" t="s">
        <v>469</v>
      </c>
      <c r="D91" s="346" t="s">
        <v>66</v>
      </c>
      <c r="E91" s="268"/>
      <c r="F91" s="133"/>
      <c r="G91" s="167">
        <v>4</v>
      </c>
      <c r="H91" s="148" t="s">
        <v>443</v>
      </c>
      <c r="I91" s="148" t="s">
        <v>441</v>
      </c>
      <c r="J91" s="156"/>
      <c r="K91" s="281" t="s">
        <v>633</v>
      </c>
      <c r="L91" s="285"/>
    </row>
    <row r="92" spans="2:12" ht="43.5">
      <c r="B92" s="268"/>
      <c r="C92" s="268"/>
      <c r="D92" s="346"/>
      <c r="E92" s="268"/>
      <c r="F92" s="133"/>
      <c r="G92" s="167">
        <v>5</v>
      </c>
      <c r="H92" s="148" t="s">
        <v>444</v>
      </c>
      <c r="I92" s="148" t="s">
        <v>445</v>
      </c>
      <c r="J92" s="156"/>
      <c r="K92" s="281"/>
      <c r="L92" s="285"/>
    </row>
    <row r="93" spans="2:12" ht="29">
      <c r="B93" s="268"/>
      <c r="C93" s="268"/>
      <c r="D93" s="346"/>
      <c r="E93" s="268"/>
      <c r="F93" s="133"/>
      <c r="G93" s="167">
        <v>3</v>
      </c>
      <c r="H93" s="148" t="s">
        <v>470</v>
      </c>
      <c r="I93" s="148" t="s">
        <v>186</v>
      </c>
      <c r="J93" s="148" t="s">
        <v>471</v>
      </c>
      <c r="K93" s="281"/>
      <c r="L93" s="285"/>
    </row>
    <row r="94" spans="2:12">
      <c r="B94" s="268" t="s">
        <v>468</v>
      </c>
      <c r="C94" s="268" t="s">
        <v>472</v>
      </c>
      <c r="D94" s="346" t="s">
        <v>66</v>
      </c>
      <c r="E94" s="268"/>
      <c r="F94" s="133"/>
      <c r="G94" s="167">
        <v>4</v>
      </c>
      <c r="H94" s="148" t="s">
        <v>443</v>
      </c>
      <c r="I94" s="148" t="s">
        <v>441</v>
      </c>
      <c r="J94" s="156"/>
      <c r="K94" s="281" t="s">
        <v>633</v>
      </c>
      <c r="L94" s="285"/>
    </row>
    <row r="95" spans="2:12" ht="43.5">
      <c r="B95" s="268"/>
      <c r="C95" s="268"/>
      <c r="D95" s="346"/>
      <c r="E95" s="268"/>
      <c r="F95" s="133"/>
      <c r="G95" s="167">
        <v>5</v>
      </c>
      <c r="H95" s="148" t="s">
        <v>444</v>
      </c>
      <c r="I95" s="148" t="s">
        <v>445</v>
      </c>
      <c r="J95" s="156"/>
      <c r="K95" s="281"/>
      <c r="L95" s="285"/>
    </row>
    <row r="96" spans="2:12" ht="29">
      <c r="B96" s="268"/>
      <c r="C96" s="268"/>
      <c r="D96" s="346"/>
      <c r="E96" s="268"/>
      <c r="F96" s="133"/>
      <c r="G96" s="167">
        <v>3</v>
      </c>
      <c r="H96" s="148" t="s">
        <v>470</v>
      </c>
      <c r="I96" s="148" t="s">
        <v>186</v>
      </c>
      <c r="J96" s="148" t="s">
        <v>471</v>
      </c>
      <c r="K96" s="281"/>
      <c r="L96" s="285"/>
    </row>
    <row r="97" spans="2:12">
      <c r="B97" s="268" t="s">
        <v>473</v>
      </c>
      <c r="C97" s="268" t="s">
        <v>474</v>
      </c>
      <c r="D97" s="346" t="s">
        <v>66</v>
      </c>
      <c r="E97" s="268"/>
      <c r="F97" s="133"/>
      <c r="G97" s="167">
        <v>4</v>
      </c>
      <c r="H97" s="148" t="s">
        <v>443</v>
      </c>
      <c r="I97" s="148" t="s">
        <v>441</v>
      </c>
      <c r="J97" s="156"/>
      <c r="K97" s="281" t="s">
        <v>633</v>
      </c>
      <c r="L97" s="285"/>
    </row>
    <row r="98" spans="2:12" ht="43.5">
      <c r="B98" s="268"/>
      <c r="C98" s="268"/>
      <c r="D98" s="346"/>
      <c r="E98" s="268"/>
      <c r="F98" s="133"/>
      <c r="G98" s="167">
        <v>5</v>
      </c>
      <c r="H98" s="148" t="s">
        <v>444</v>
      </c>
      <c r="I98" s="148" t="s">
        <v>445</v>
      </c>
      <c r="J98" s="156"/>
      <c r="K98" s="281"/>
      <c r="L98" s="285"/>
    </row>
    <row r="99" spans="2:12" ht="29">
      <c r="B99" s="268"/>
      <c r="C99" s="268"/>
      <c r="D99" s="346"/>
      <c r="E99" s="268"/>
      <c r="F99" s="133"/>
      <c r="G99" s="167">
        <v>3</v>
      </c>
      <c r="H99" s="148" t="s">
        <v>470</v>
      </c>
      <c r="I99" s="148" t="s">
        <v>186</v>
      </c>
      <c r="J99" s="148" t="s">
        <v>471</v>
      </c>
      <c r="K99" s="281"/>
      <c r="L99" s="285"/>
    </row>
    <row r="100" spans="2:12">
      <c r="B100" s="268" t="s">
        <v>473</v>
      </c>
      <c r="C100" s="268" t="s">
        <v>475</v>
      </c>
      <c r="D100" s="346" t="s">
        <v>66</v>
      </c>
      <c r="E100" s="268"/>
      <c r="F100" s="133"/>
      <c r="G100" s="167">
        <v>4</v>
      </c>
      <c r="H100" s="148" t="s">
        <v>443</v>
      </c>
      <c r="I100" s="148" t="s">
        <v>441</v>
      </c>
      <c r="J100" s="156"/>
      <c r="K100" s="281" t="s">
        <v>633</v>
      </c>
      <c r="L100" s="285"/>
    </row>
    <row r="101" spans="2:12" ht="43.5">
      <c r="B101" s="268"/>
      <c r="C101" s="268"/>
      <c r="D101" s="346"/>
      <c r="E101" s="268"/>
      <c r="F101" s="133"/>
      <c r="G101" s="167">
        <v>5</v>
      </c>
      <c r="H101" s="148" t="s">
        <v>444</v>
      </c>
      <c r="I101" s="148" t="s">
        <v>445</v>
      </c>
      <c r="J101" s="156"/>
      <c r="K101" s="281"/>
      <c r="L101" s="285"/>
    </row>
    <row r="102" spans="2:12" ht="29">
      <c r="B102" s="268"/>
      <c r="C102" s="268"/>
      <c r="D102" s="346"/>
      <c r="E102" s="268"/>
      <c r="F102" s="133"/>
      <c r="G102" s="167">
        <v>3</v>
      </c>
      <c r="H102" s="148" t="s">
        <v>470</v>
      </c>
      <c r="I102" s="148" t="s">
        <v>186</v>
      </c>
      <c r="J102" s="148" t="s">
        <v>471</v>
      </c>
      <c r="K102" s="281"/>
      <c r="L102" s="285"/>
    </row>
    <row r="103" spans="2:12">
      <c r="B103" s="268" t="s">
        <v>476</v>
      </c>
      <c r="C103" s="268" t="s">
        <v>477</v>
      </c>
      <c r="D103" s="346" t="s">
        <v>66</v>
      </c>
      <c r="E103" s="268"/>
      <c r="F103" s="133"/>
      <c r="G103" s="167">
        <v>4</v>
      </c>
      <c r="H103" s="148" t="s">
        <v>443</v>
      </c>
      <c r="I103" s="148" t="s">
        <v>441</v>
      </c>
      <c r="J103" s="156"/>
      <c r="K103" s="281" t="s">
        <v>633</v>
      </c>
      <c r="L103" s="285"/>
    </row>
    <row r="104" spans="2:12" ht="43.5">
      <c r="B104" s="268"/>
      <c r="C104" s="268"/>
      <c r="D104" s="346"/>
      <c r="E104" s="268"/>
      <c r="F104" s="133"/>
      <c r="G104" s="167">
        <v>5</v>
      </c>
      <c r="H104" s="148" t="s">
        <v>444</v>
      </c>
      <c r="I104" s="148" t="s">
        <v>445</v>
      </c>
      <c r="J104" s="156"/>
      <c r="K104" s="281"/>
      <c r="L104" s="285"/>
    </row>
    <row r="105" spans="2:12" ht="29">
      <c r="B105" s="268"/>
      <c r="C105" s="268"/>
      <c r="D105" s="346"/>
      <c r="E105" s="268"/>
      <c r="F105" s="133"/>
      <c r="G105" s="167">
        <v>3</v>
      </c>
      <c r="H105" s="148" t="s">
        <v>470</v>
      </c>
      <c r="I105" s="148" t="s">
        <v>186</v>
      </c>
      <c r="J105" s="148" t="s">
        <v>471</v>
      </c>
      <c r="K105" s="281"/>
      <c r="L105" s="285"/>
    </row>
    <row r="106" spans="2:12">
      <c r="B106" s="268" t="s">
        <v>478</v>
      </c>
      <c r="C106" s="268" t="s">
        <v>479</v>
      </c>
      <c r="D106" s="345" t="s">
        <v>66</v>
      </c>
      <c r="E106" s="328"/>
      <c r="F106" s="160"/>
      <c r="G106" s="168">
        <v>4</v>
      </c>
      <c r="H106" s="169" t="s">
        <v>443</v>
      </c>
      <c r="I106" s="169" t="s">
        <v>441</v>
      </c>
      <c r="J106" s="170"/>
      <c r="K106" s="290" t="s">
        <v>633</v>
      </c>
      <c r="L106" s="285"/>
    </row>
    <row r="107" spans="2:12" ht="43.5">
      <c r="B107" s="268"/>
      <c r="C107" s="268"/>
      <c r="D107" s="346"/>
      <c r="E107" s="268"/>
      <c r="F107" s="133"/>
      <c r="G107" s="167">
        <v>5</v>
      </c>
      <c r="H107" s="148" t="s">
        <v>444</v>
      </c>
      <c r="I107" s="148" t="s">
        <v>445</v>
      </c>
      <c r="J107" s="156"/>
      <c r="K107" s="281"/>
      <c r="L107" s="285"/>
    </row>
    <row r="108" spans="2:12" ht="29">
      <c r="B108" s="268"/>
      <c r="C108" s="268"/>
      <c r="D108" s="346"/>
      <c r="E108" s="268"/>
      <c r="F108" s="133"/>
      <c r="G108" s="167">
        <v>3</v>
      </c>
      <c r="H108" s="148" t="s">
        <v>470</v>
      </c>
      <c r="I108" s="148" t="s">
        <v>186</v>
      </c>
      <c r="J108" s="148" t="s">
        <v>471</v>
      </c>
      <c r="K108" s="281"/>
      <c r="L108" s="285"/>
    </row>
    <row r="109" spans="2:12">
      <c r="B109" s="268" t="s">
        <v>478</v>
      </c>
      <c r="C109" s="268" t="s">
        <v>464</v>
      </c>
      <c r="D109" s="345" t="s">
        <v>66</v>
      </c>
      <c r="E109" s="328"/>
      <c r="F109" s="160"/>
      <c r="G109" s="168">
        <v>4</v>
      </c>
      <c r="H109" s="169" t="s">
        <v>443</v>
      </c>
      <c r="I109" s="169" t="s">
        <v>441</v>
      </c>
      <c r="J109" s="170"/>
      <c r="K109" s="290" t="s">
        <v>633</v>
      </c>
      <c r="L109" s="285"/>
    </row>
    <row r="110" spans="2:12" ht="43.5">
      <c r="B110" s="268"/>
      <c r="C110" s="268"/>
      <c r="D110" s="346"/>
      <c r="E110" s="268"/>
      <c r="F110" s="133"/>
      <c r="G110" s="167">
        <v>5</v>
      </c>
      <c r="H110" s="148" t="s">
        <v>444</v>
      </c>
      <c r="I110" s="148" t="s">
        <v>445</v>
      </c>
      <c r="J110" s="156"/>
      <c r="K110" s="281"/>
      <c r="L110" s="285"/>
    </row>
    <row r="111" spans="2:12" ht="29">
      <c r="B111" s="268"/>
      <c r="C111" s="268"/>
      <c r="D111" s="346"/>
      <c r="E111" s="268"/>
      <c r="F111" s="133"/>
      <c r="G111" s="167">
        <v>3</v>
      </c>
      <c r="H111" s="148" t="s">
        <v>470</v>
      </c>
      <c r="I111" s="148" t="s">
        <v>186</v>
      </c>
      <c r="J111" s="148" t="s">
        <v>471</v>
      </c>
      <c r="K111" s="281"/>
      <c r="L111" s="285"/>
    </row>
    <row r="112" spans="2:12">
      <c r="B112" s="342" t="s">
        <v>480</v>
      </c>
      <c r="C112" s="343"/>
      <c r="D112" s="343"/>
      <c r="E112" s="343"/>
      <c r="F112" s="343"/>
      <c r="G112" s="343"/>
      <c r="H112" s="343"/>
      <c r="I112" s="343"/>
      <c r="J112" s="343"/>
      <c r="K112" s="343"/>
      <c r="L112" s="344"/>
    </row>
    <row r="113" spans="2:12">
      <c r="B113" s="268" t="s">
        <v>416</v>
      </c>
      <c r="C113" s="268" t="s">
        <v>481</v>
      </c>
      <c r="D113" s="268" t="s">
        <v>91</v>
      </c>
      <c r="E113" s="268"/>
      <c r="F113" s="133"/>
      <c r="G113" s="167">
        <v>1</v>
      </c>
      <c r="H113" s="148" t="s">
        <v>142</v>
      </c>
      <c r="I113" s="148" t="s">
        <v>143</v>
      </c>
      <c r="J113" s="148" t="s">
        <v>143</v>
      </c>
      <c r="K113" s="281"/>
      <c r="L113" s="285"/>
    </row>
    <row r="114" spans="2:12">
      <c r="B114" s="268"/>
      <c r="C114" s="268"/>
      <c r="D114" s="268"/>
      <c r="E114" s="268"/>
      <c r="F114" s="133"/>
      <c r="G114" s="167">
        <v>2</v>
      </c>
      <c r="H114" s="148" t="s">
        <v>482</v>
      </c>
      <c r="I114" s="148" t="s">
        <v>146</v>
      </c>
      <c r="J114" s="148" t="s">
        <v>146</v>
      </c>
      <c r="K114" s="281"/>
      <c r="L114" s="285"/>
    </row>
    <row r="115" spans="2:12" ht="46.5" customHeight="1">
      <c r="B115" s="268"/>
      <c r="C115" s="268"/>
      <c r="D115" s="268"/>
      <c r="E115" s="268"/>
      <c r="F115" s="133"/>
      <c r="G115" s="167">
        <v>3</v>
      </c>
      <c r="H115" s="148" t="s">
        <v>470</v>
      </c>
      <c r="I115" s="148" t="s">
        <v>186</v>
      </c>
      <c r="J115" s="148" t="s">
        <v>471</v>
      </c>
      <c r="K115" s="281"/>
      <c r="L115" s="285"/>
    </row>
    <row r="116" spans="2:12">
      <c r="B116" s="268" t="s">
        <v>416</v>
      </c>
      <c r="C116" s="268" t="s">
        <v>483</v>
      </c>
      <c r="D116" s="268" t="s">
        <v>91</v>
      </c>
      <c r="E116" s="268"/>
      <c r="F116" s="133"/>
      <c r="G116" s="167">
        <v>1</v>
      </c>
      <c r="H116" s="148" t="s">
        <v>142</v>
      </c>
      <c r="I116" s="148" t="s">
        <v>143</v>
      </c>
      <c r="J116" s="148" t="s">
        <v>143</v>
      </c>
      <c r="K116" s="281"/>
      <c r="L116" s="285" t="s">
        <v>484</v>
      </c>
    </row>
    <row r="117" spans="2:12">
      <c r="B117" s="268"/>
      <c r="C117" s="268"/>
      <c r="D117" s="268"/>
      <c r="E117" s="268"/>
      <c r="F117" s="133"/>
      <c r="G117" s="167">
        <v>2</v>
      </c>
      <c r="H117" s="148" t="s">
        <v>482</v>
      </c>
      <c r="I117" s="148" t="s">
        <v>146</v>
      </c>
      <c r="J117" s="148" t="s">
        <v>146</v>
      </c>
      <c r="K117" s="281"/>
      <c r="L117" s="285"/>
    </row>
    <row r="118" spans="2:12" ht="46.5" customHeight="1">
      <c r="B118" s="268"/>
      <c r="C118" s="268"/>
      <c r="D118" s="268"/>
      <c r="E118" s="268"/>
      <c r="F118" s="133"/>
      <c r="G118" s="167">
        <v>3</v>
      </c>
      <c r="H118" s="148" t="s">
        <v>470</v>
      </c>
      <c r="I118" s="148" t="s">
        <v>186</v>
      </c>
      <c r="J118" s="148" t="s">
        <v>471</v>
      </c>
      <c r="K118" s="281"/>
      <c r="L118" s="285"/>
    </row>
    <row r="119" spans="2:12">
      <c r="B119" s="268" t="s">
        <v>416</v>
      </c>
      <c r="C119" s="268" t="s">
        <v>485</v>
      </c>
      <c r="D119" s="268" t="s">
        <v>91</v>
      </c>
      <c r="E119" s="268"/>
      <c r="F119" s="133"/>
      <c r="G119" s="167">
        <v>1</v>
      </c>
      <c r="H119" s="148" t="s">
        <v>142</v>
      </c>
      <c r="I119" s="148" t="s">
        <v>143</v>
      </c>
      <c r="J119" s="148" t="s">
        <v>143</v>
      </c>
      <c r="K119" s="281"/>
      <c r="L119" s="285"/>
    </row>
    <row r="120" spans="2:12">
      <c r="B120" s="268"/>
      <c r="C120" s="268"/>
      <c r="D120" s="268"/>
      <c r="E120" s="268"/>
      <c r="F120" s="133"/>
      <c r="G120" s="167">
        <v>2</v>
      </c>
      <c r="H120" s="148" t="s">
        <v>482</v>
      </c>
      <c r="I120" s="148" t="s">
        <v>146</v>
      </c>
      <c r="J120" s="148" t="s">
        <v>146</v>
      </c>
      <c r="K120" s="281"/>
      <c r="L120" s="285"/>
    </row>
    <row r="121" spans="2:12" ht="29">
      <c r="B121" s="268"/>
      <c r="C121" s="268"/>
      <c r="D121" s="268"/>
      <c r="E121" s="268"/>
      <c r="F121" s="133"/>
      <c r="G121" s="167">
        <v>3</v>
      </c>
      <c r="H121" s="148" t="s">
        <v>470</v>
      </c>
      <c r="I121" s="148" t="s">
        <v>186</v>
      </c>
      <c r="J121" s="148" t="s">
        <v>471</v>
      </c>
      <c r="K121" s="281"/>
      <c r="L121" s="285"/>
    </row>
    <row r="122" spans="2:12">
      <c r="B122" s="268" t="s">
        <v>416</v>
      </c>
      <c r="C122" s="268" t="s">
        <v>486</v>
      </c>
      <c r="D122" s="268" t="s">
        <v>91</v>
      </c>
      <c r="E122" s="268"/>
      <c r="F122" s="133"/>
      <c r="G122" s="167">
        <v>1</v>
      </c>
      <c r="H122" s="148" t="s">
        <v>142</v>
      </c>
      <c r="I122" s="148" t="s">
        <v>143</v>
      </c>
      <c r="J122" s="148" t="s">
        <v>143</v>
      </c>
      <c r="K122" s="281"/>
      <c r="L122" s="285"/>
    </row>
    <row r="123" spans="2:12">
      <c r="B123" s="268"/>
      <c r="C123" s="268"/>
      <c r="D123" s="268"/>
      <c r="E123" s="268"/>
      <c r="F123" s="133"/>
      <c r="G123" s="167">
        <v>2</v>
      </c>
      <c r="H123" s="148" t="s">
        <v>482</v>
      </c>
      <c r="I123" s="148" t="s">
        <v>146</v>
      </c>
      <c r="J123" s="148" t="s">
        <v>146</v>
      </c>
      <c r="K123" s="281"/>
      <c r="L123" s="285"/>
    </row>
    <row r="124" spans="2:12" ht="29">
      <c r="B124" s="268"/>
      <c r="C124" s="268"/>
      <c r="D124" s="268"/>
      <c r="E124" s="268"/>
      <c r="F124" s="133"/>
      <c r="G124" s="167">
        <v>3</v>
      </c>
      <c r="H124" s="148" t="s">
        <v>470</v>
      </c>
      <c r="I124" s="148" t="s">
        <v>186</v>
      </c>
      <c r="J124" s="148" t="s">
        <v>471</v>
      </c>
      <c r="K124" s="281"/>
      <c r="L124" s="285"/>
    </row>
    <row r="125" spans="2:12">
      <c r="B125" s="286" t="s">
        <v>468</v>
      </c>
      <c r="C125" s="340" t="s">
        <v>487</v>
      </c>
      <c r="D125" s="268" t="s">
        <v>91</v>
      </c>
      <c r="E125" s="328"/>
      <c r="F125" s="160"/>
      <c r="G125" s="168">
        <v>1</v>
      </c>
      <c r="H125" s="169" t="s">
        <v>142</v>
      </c>
      <c r="I125" s="169" t="s">
        <v>143</v>
      </c>
      <c r="J125" s="169" t="s">
        <v>143</v>
      </c>
      <c r="K125" s="290"/>
      <c r="L125" s="304"/>
    </row>
    <row r="126" spans="2:12">
      <c r="B126" s="286"/>
      <c r="C126" s="340"/>
      <c r="D126" s="268"/>
      <c r="E126" s="268"/>
      <c r="F126" s="133"/>
      <c r="G126" s="167">
        <v>2</v>
      </c>
      <c r="H126" s="148" t="s">
        <v>482</v>
      </c>
      <c r="I126" s="148" t="s">
        <v>146</v>
      </c>
      <c r="J126" s="148" t="s">
        <v>146</v>
      </c>
      <c r="K126" s="281"/>
      <c r="L126" s="285"/>
    </row>
    <row r="127" spans="2:12" ht="29">
      <c r="B127" s="286"/>
      <c r="C127" s="340"/>
      <c r="D127" s="268"/>
      <c r="E127" s="268"/>
      <c r="F127" s="133"/>
      <c r="G127" s="167">
        <v>3</v>
      </c>
      <c r="H127" s="148" t="s">
        <v>470</v>
      </c>
      <c r="I127" s="148" t="s">
        <v>186</v>
      </c>
      <c r="J127" s="148" t="s">
        <v>471</v>
      </c>
      <c r="K127" s="281"/>
      <c r="L127" s="285"/>
    </row>
    <row r="128" spans="2:12">
      <c r="B128" s="268" t="s">
        <v>416</v>
      </c>
      <c r="C128" s="268" t="s">
        <v>463</v>
      </c>
      <c r="D128" s="268" t="s">
        <v>91</v>
      </c>
      <c r="E128" s="268"/>
      <c r="F128" s="133"/>
      <c r="G128" s="167">
        <v>1</v>
      </c>
      <c r="H128" s="148" t="s">
        <v>142</v>
      </c>
      <c r="I128" s="148" t="s">
        <v>143</v>
      </c>
      <c r="J128" s="148" t="s">
        <v>143</v>
      </c>
      <c r="K128" s="281"/>
      <c r="L128" s="341" t="s">
        <v>488</v>
      </c>
    </row>
    <row r="129" spans="2:12">
      <c r="B129" s="268"/>
      <c r="C129" s="268"/>
      <c r="D129" s="268"/>
      <c r="E129" s="268"/>
      <c r="F129" s="133"/>
      <c r="G129" s="167">
        <v>2</v>
      </c>
      <c r="H129" s="148" t="s">
        <v>482</v>
      </c>
      <c r="I129" s="148" t="s">
        <v>146</v>
      </c>
      <c r="J129" s="148" t="s">
        <v>146</v>
      </c>
      <c r="K129" s="281"/>
      <c r="L129" s="341"/>
    </row>
    <row r="130" spans="2:12" ht="29">
      <c r="B130" s="268"/>
      <c r="C130" s="268"/>
      <c r="D130" s="268"/>
      <c r="E130" s="268"/>
      <c r="F130" s="133"/>
      <c r="G130" s="167">
        <v>3</v>
      </c>
      <c r="H130" s="148" t="s">
        <v>470</v>
      </c>
      <c r="I130" s="148" t="s">
        <v>186</v>
      </c>
      <c r="J130" s="148" t="s">
        <v>471</v>
      </c>
      <c r="K130" s="281"/>
      <c r="L130" s="341"/>
    </row>
    <row r="131" spans="2:12" ht="43.5">
      <c r="B131" s="283" t="s">
        <v>489</v>
      </c>
      <c r="C131" s="283" t="s">
        <v>490</v>
      </c>
      <c r="D131" s="283" t="s">
        <v>91</v>
      </c>
      <c r="E131" s="94" t="s">
        <v>491</v>
      </c>
      <c r="F131" s="94"/>
      <c r="G131" s="103">
        <v>1</v>
      </c>
      <c r="H131" s="104" t="s">
        <v>444</v>
      </c>
      <c r="I131" s="104" t="s">
        <v>492</v>
      </c>
      <c r="J131" s="173"/>
      <c r="K131" s="281"/>
      <c r="L131" s="285"/>
    </row>
    <row r="132" spans="2:12">
      <c r="B132" s="286"/>
      <c r="C132" s="286"/>
      <c r="D132" s="286"/>
      <c r="E132" s="95"/>
      <c r="F132" s="95"/>
      <c r="G132" s="103">
        <v>2</v>
      </c>
      <c r="H132" s="104" t="s">
        <v>493</v>
      </c>
      <c r="I132" s="104" t="s">
        <v>441</v>
      </c>
      <c r="J132" s="173"/>
      <c r="K132" s="281"/>
      <c r="L132" s="285"/>
    </row>
    <row r="133" spans="2:12">
      <c r="B133" s="286"/>
      <c r="C133" s="286"/>
      <c r="D133" s="286"/>
      <c r="E133" s="95"/>
      <c r="F133" s="95"/>
      <c r="G133" s="103">
        <v>3</v>
      </c>
      <c r="H133" s="104" t="s">
        <v>442</v>
      </c>
      <c r="I133" s="104" t="s">
        <v>441</v>
      </c>
      <c r="J133" s="173"/>
      <c r="K133" s="281"/>
      <c r="L133" s="285"/>
    </row>
    <row r="134" spans="2:12">
      <c r="B134" s="286"/>
      <c r="C134" s="286"/>
      <c r="D134" s="286"/>
      <c r="E134" s="95"/>
      <c r="F134" s="95"/>
      <c r="G134" s="103">
        <v>4</v>
      </c>
      <c r="H134" s="104" t="s">
        <v>494</v>
      </c>
      <c r="I134" s="104" t="s">
        <v>441</v>
      </c>
      <c r="J134" s="173"/>
      <c r="K134" s="281"/>
      <c r="L134" s="285"/>
    </row>
    <row r="135" spans="2:12">
      <c r="B135" s="286"/>
      <c r="C135" s="286"/>
      <c r="D135" s="284"/>
      <c r="E135" s="95"/>
      <c r="F135" s="95"/>
      <c r="G135" s="103">
        <v>5</v>
      </c>
      <c r="H135" s="104" t="s">
        <v>444</v>
      </c>
      <c r="I135" s="104" t="s">
        <v>495</v>
      </c>
      <c r="J135" s="173"/>
      <c r="K135" s="281"/>
      <c r="L135" s="285"/>
    </row>
    <row r="136" spans="2:12" ht="43.5">
      <c r="B136" s="283" t="s">
        <v>489</v>
      </c>
      <c r="C136" s="283" t="s">
        <v>496</v>
      </c>
      <c r="D136" s="283" t="s">
        <v>91</v>
      </c>
      <c r="E136" s="94" t="s">
        <v>491</v>
      </c>
      <c r="F136" s="94"/>
      <c r="G136" s="103">
        <v>1</v>
      </c>
      <c r="H136" s="104" t="s">
        <v>444</v>
      </c>
      <c r="I136" s="104" t="s">
        <v>492</v>
      </c>
      <c r="J136" s="173"/>
      <c r="K136" s="281"/>
      <c r="L136" s="339"/>
    </row>
    <row r="137" spans="2:12">
      <c r="B137" s="286"/>
      <c r="C137" s="286"/>
      <c r="D137" s="286"/>
      <c r="E137" s="95"/>
      <c r="F137" s="95"/>
      <c r="G137" s="103">
        <v>2</v>
      </c>
      <c r="H137" s="104" t="s">
        <v>493</v>
      </c>
      <c r="I137" s="104" t="s">
        <v>441</v>
      </c>
      <c r="J137" s="173"/>
      <c r="K137" s="281"/>
      <c r="L137" s="339"/>
    </row>
    <row r="138" spans="2:12">
      <c r="B138" s="286"/>
      <c r="C138" s="286"/>
      <c r="D138" s="286"/>
      <c r="E138" s="95"/>
      <c r="F138" s="95"/>
      <c r="G138" s="103">
        <v>3</v>
      </c>
      <c r="H138" s="104" t="s">
        <v>442</v>
      </c>
      <c r="I138" s="104" t="s">
        <v>441</v>
      </c>
      <c r="J138" s="173"/>
      <c r="K138" s="281"/>
      <c r="L138" s="339"/>
    </row>
    <row r="139" spans="2:12">
      <c r="B139" s="286"/>
      <c r="C139" s="286"/>
      <c r="D139" s="286"/>
      <c r="E139" s="95"/>
      <c r="F139" s="95"/>
      <c r="G139" s="103">
        <v>4</v>
      </c>
      <c r="H139" s="104" t="s">
        <v>494</v>
      </c>
      <c r="I139" s="104" t="s">
        <v>441</v>
      </c>
      <c r="J139" s="173"/>
      <c r="K139" s="281"/>
      <c r="L139" s="339"/>
    </row>
    <row r="140" spans="2:12">
      <c r="B140" s="286"/>
      <c r="C140" s="286"/>
      <c r="D140" s="284"/>
      <c r="E140" s="95"/>
      <c r="F140" s="95"/>
      <c r="G140" s="103">
        <v>5</v>
      </c>
      <c r="H140" s="104" t="s">
        <v>444</v>
      </c>
      <c r="I140" s="104" t="s">
        <v>495</v>
      </c>
      <c r="J140" s="173"/>
      <c r="K140" s="281"/>
      <c r="L140" s="339"/>
    </row>
    <row r="141" spans="2:12">
      <c r="B141" s="283" t="s">
        <v>419</v>
      </c>
      <c r="C141" s="283" t="s">
        <v>357</v>
      </c>
      <c r="D141" s="283" t="s">
        <v>91</v>
      </c>
      <c r="E141" s="94"/>
      <c r="F141" s="94"/>
      <c r="G141" s="103">
        <v>1</v>
      </c>
      <c r="H141" s="104" t="s">
        <v>444</v>
      </c>
      <c r="I141" s="104" t="s">
        <v>492</v>
      </c>
      <c r="J141" s="173"/>
      <c r="K141" s="281"/>
      <c r="L141" s="285"/>
    </row>
    <row r="142" spans="2:12">
      <c r="B142" s="286"/>
      <c r="C142" s="286"/>
      <c r="D142" s="286"/>
      <c r="E142" s="95"/>
      <c r="F142" s="95"/>
      <c r="G142" s="103">
        <v>2</v>
      </c>
      <c r="H142" s="104" t="s">
        <v>440</v>
      </c>
      <c r="I142" s="104" t="s">
        <v>441</v>
      </c>
      <c r="J142" s="173"/>
      <c r="K142" s="281"/>
      <c r="L142" s="285"/>
    </row>
    <row r="143" spans="2:12">
      <c r="B143" s="286"/>
      <c r="C143" s="286"/>
      <c r="D143" s="286"/>
      <c r="E143" s="95"/>
      <c r="F143" s="95"/>
      <c r="G143" s="103">
        <v>3</v>
      </c>
      <c r="H143" s="104" t="s">
        <v>442</v>
      </c>
      <c r="I143" s="104" t="s">
        <v>441</v>
      </c>
      <c r="J143" s="173"/>
      <c r="K143" s="281"/>
      <c r="L143" s="285"/>
    </row>
    <row r="144" spans="2:12">
      <c r="B144" s="286"/>
      <c r="C144" s="286"/>
      <c r="D144" s="286"/>
      <c r="E144" s="95"/>
      <c r="F144" s="95"/>
      <c r="G144" s="103">
        <v>4</v>
      </c>
      <c r="H144" s="104" t="s">
        <v>497</v>
      </c>
      <c r="I144" s="104" t="s">
        <v>441</v>
      </c>
      <c r="J144" s="173"/>
      <c r="K144" s="281"/>
      <c r="L144" s="285"/>
    </row>
    <row r="145" spans="2:12">
      <c r="B145" s="286"/>
      <c r="C145" s="286"/>
      <c r="D145" s="284"/>
      <c r="E145" s="95"/>
      <c r="F145" s="95"/>
      <c r="G145" s="103">
        <v>5</v>
      </c>
      <c r="H145" s="104" t="s">
        <v>444</v>
      </c>
      <c r="I145" s="104" t="s">
        <v>495</v>
      </c>
      <c r="J145" s="173"/>
      <c r="K145" s="281"/>
      <c r="L145" s="285"/>
    </row>
    <row r="146" spans="2:12">
      <c r="B146" s="283" t="s">
        <v>419</v>
      </c>
      <c r="C146" s="283" t="s">
        <v>498</v>
      </c>
      <c r="D146" s="283" t="s">
        <v>91</v>
      </c>
      <c r="E146" s="94"/>
      <c r="F146" s="94"/>
      <c r="G146" s="103">
        <v>1</v>
      </c>
      <c r="H146" s="104" t="s">
        <v>444</v>
      </c>
      <c r="I146" s="104" t="s">
        <v>492</v>
      </c>
      <c r="J146" s="173"/>
      <c r="K146" s="281"/>
      <c r="L146" s="285"/>
    </row>
    <row r="147" spans="2:12">
      <c r="B147" s="286"/>
      <c r="C147" s="286"/>
      <c r="D147" s="286"/>
      <c r="E147" s="95"/>
      <c r="F147" s="95"/>
      <c r="G147" s="103">
        <v>2</v>
      </c>
      <c r="H147" s="104" t="s">
        <v>440</v>
      </c>
      <c r="I147" s="104" t="s">
        <v>441</v>
      </c>
      <c r="J147" s="173"/>
      <c r="K147" s="281"/>
      <c r="L147" s="285"/>
    </row>
    <row r="148" spans="2:12">
      <c r="B148" s="286"/>
      <c r="C148" s="286"/>
      <c r="D148" s="286"/>
      <c r="E148" s="95"/>
      <c r="F148" s="95"/>
      <c r="G148" s="103">
        <v>3</v>
      </c>
      <c r="H148" s="104" t="s">
        <v>442</v>
      </c>
      <c r="I148" s="104" t="s">
        <v>441</v>
      </c>
      <c r="J148" s="173"/>
      <c r="K148" s="281"/>
      <c r="L148" s="285"/>
    </row>
    <row r="149" spans="2:12">
      <c r="B149" s="286"/>
      <c r="C149" s="286"/>
      <c r="D149" s="286"/>
      <c r="E149" s="95"/>
      <c r="F149" s="95"/>
      <c r="G149" s="103">
        <v>4</v>
      </c>
      <c r="H149" s="104" t="s">
        <v>497</v>
      </c>
      <c r="I149" s="104" t="s">
        <v>441</v>
      </c>
      <c r="J149" s="173"/>
      <c r="K149" s="281"/>
      <c r="L149" s="285"/>
    </row>
    <row r="150" spans="2:12">
      <c r="B150" s="286"/>
      <c r="C150" s="286"/>
      <c r="D150" s="284"/>
      <c r="E150" s="95"/>
      <c r="F150" s="95"/>
      <c r="G150" s="103">
        <v>5</v>
      </c>
      <c r="H150" s="104" t="s">
        <v>444</v>
      </c>
      <c r="I150" s="104" t="s">
        <v>495</v>
      </c>
      <c r="J150" s="173"/>
      <c r="K150" s="281"/>
      <c r="L150" s="285"/>
    </row>
    <row r="151" spans="2:12">
      <c r="B151" s="283" t="s">
        <v>419</v>
      </c>
      <c r="C151" s="283" t="s">
        <v>499</v>
      </c>
      <c r="D151" s="283" t="s">
        <v>91</v>
      </c>
      <c r="E151" s="94"/>
      <c r="F151" s="94"/>
      <c r="G151" s="103">
        <v>1</v>
      </c>
      <c r="H151" s="104" t="s">
        <v>444</v>
      </c>
      <c r="I151" s="104" t="s">
        <v>492</v>
      </c>
      <c r="J151" s="173"/>
      <c r="K151" s="281"/>
      <c r="L151" s="285"/>
    </row>
    <row r="152" spans="2:12">
      <c r="B152" s="286"/>
      <c r="C152" s="286"/>
      <c r="D152" s="286"/>
      <c r="E152" s="95"/>
      <c r="F152" s="95"/>
      <c r="G152" s="103">
        <v>2</v>
      </c>
      <c r="H152" s="104" t="s">
        <v>440</v>
      </c>
      <c r="I152" s="104" t="s">
        <v>441</v>
      </c>
      <c r="J152" s="173"/>
      <c r="K152" s="281"/>
      <c r="L152" s="285"/>
    </row>
    <row r="153" spans="2:12">
      <c r="B153" s="286"/>
      <c r="C153" s="286"/>
      <c r="D153" s="286"/>
      <c r="E153" s="95"/>
      <c r="F153" s="95"/>
      <c r="G153" s="103">
        <v>3</v>
      </c>
      <c r="H153" s="104" t="s">
        <v>442</v>
      </c>
      <c r="I153" s="104" t="s">
        <v>441</v>
      </c>
      <c r="J153" s="173"/>
      <c r="K153" s="281"/>
      <c r="L153" s="285"/>
    </row>
    <row r="154" spans="2:12">
      <c r="B154" s="286"/>
      <c r="C154" s="286"/>
      <c r="D154" s="286"/>
      <c r="E154" s="95"/>
      <c r="F154" s="95"/>
      <c r="G154" s="103">
        <v>4</v>
      </c>
      <c r="H154" s="104" t="s">
        <v>497</v>
      </c>
      <c r="I154" s="104" t="s">
        <v>441</v>
      </c>
      <c r="J154" s="173"/>
      <c r="K154" s="281"/>
      <c r="L154" s="285"/>
    </row>
    <row r="155" spans="2:12">
      <c r="B155" s="286"/>
      <c r="C155" s="286"/>
      <c r="D155" s="284"/>
      <c r="E155" s="95"/>
      <c r="F155" s="95"/>
      <c r="G155" s="103">
        <v>5</v>
      </c>
      <c r="H155" s="104" t="s">
        <v>444</v>
      </c>
      <c r="I155" s="104" t="s">
        <v>495</v>
      </c>
      <c r="J155" s="173"/>
      <c r="K155" s="281"/>
      <c r="L155" s="285"/>
    </row>
    <row r="156" spans="2:12">
      <c r="B156" s="283" t="s">
        <v>419</v>
      </c>
      <c r="C156" s="283" t="s">
        <v>500</v>
      </c>
      <c r="D156" s="283" t="s">
        <v>91</v>
      </c>
      <c r="E156" s="94"/>
      <c r="F156" s="94"/>
      <c r="G156" s="103">
        <v>1</v>
      </c>
      <c r="H156" s="104" t="s">
        <v>444</v>
      </c>
      <c r="I156" s="104" t="s">
        <v>492</v>
      </c>
      <c r="J156" s="173"/>
      <c r="K156" s="281"/>
      <c r="L156" s="285" t="s">
        <v>424</v>
      </c>
    </row>
    <row r="157" spans="2:12">
      <c r="B157" s="286"/>
      <c r="C157" s="286"/>
      <c r="D157" s="286"/>
      <c r="E157" s="95"/>
      <c r="F157" s="95"/>
      <c r="G157" s="103">
        <v>2</v>
      </c>
      <c r="H157" s="104" t="s">
        <v>440</v>
      </c>
      <c r="I157" s="104" t="s">
        <v>441</v>
      </c>
      <c r="J157" s="173"/>
      <c r="K157" s="281"/>
      <c r="L157" s="285"/>
    </row>
    <row r="158" spans="2:12">
      <c r="B158" s="286"/>
      <c r="C158" s="286"/>
      <c r="D158" s="286"/>
      <c r="E158" s="95"/>
      <c r="F158" s="95"/>
      <c r="G158" s="103">
        <v>3</v>
      </c>
      <c r="H158" s="104" t="s">
        <v>442</v>
      </c>
      <c r="I158" s="104" t="s">
        <v>441</v>
      </c>
      <c r="J158" s="173"/>
      <c r="K158" s="281"/>
      <c r="L158" s="285"/>
    </row>
    <row r="159" spans="2:12">
      <c r="B159" s="286"/>
      <c r="C159" s="286"/>
      <c r="D159" s="286"/>
      <c r="E159" s="95"/>
      <c r="F159" s="95"/>
      <c r="G159" s="103">
        <v>4</v>
      </c>
      <c r="H159" s="104" t="s">
        <v>497</v>
      </c>
      <c r="I159" s="104" t="s">
        <v>441</v>
      </c>
      <c r="J159" s="173"/>
      <c r="K159" s="281"/>
      <c r="L159" s="285"/>
    </row>
    <row r="160" spans="2:12">
      <c r="B160" s="286"/>
      <c r="C160" s="286"/>
      <c r="D160" s="284"/>
      <c r="E160" s="95"/>
      <c r="F160" s="95"/>
      <c r="G160" s="103">
        <v>5</v>
      </c>
      <c r="H160" s="104" t="s">
        <v>444</v>
      </c>
      <c r="I160" s="104" t="s">
        <v>495</v>
      </c>
      <c r="J160" s="173"/>
      <c r="K160" s="281"/>
      <c r="L160" s="285"/>
    </row>
    <row r="161" spans="2:12">
      <c r="B161" s="283" t="s">
        <v>429</v>
      </c>
      <c r="C161" s="283" t="s">
        <v>501</v>
      </c>
      <c r="D161" s="283" t="s">
        <v>91</v>
      </c>
      <c r="E161" s="94"/>
      <c r="F161" s="94"/>
      <c r="G161" s="103">
        <v>1</v>
      </c>
      <c r="H161" s="104" t="s">
        <v>444</v>
      </c>
      <c r="I161" s="104" t="s">
        <v>492</v>
      </c>
      <c r="J161" s="173"/>
      <c r="K161" s="281"/>
      <c r="L161" s="285" t="s">
        <v>424</v>
      </c>
    </row>
    <row r="162" spans="2:12">
      <c r="B162" s="286"/>
      <c r="C162" s="286"/>
      <c r="D162" s="286"/>
      <c r="E162" s="95"/>
      <c r="F162" s="95"/>
      <c r="G162" s="103">
        <v>2</v>
      </c>
      <c r="H162" s="104" t="s">
        <v>440</v>
      </c>
      <c r="I162" s="104" t="s">
        <v>441</v>
      </c>
      <c r="J162" s="173"/>
      <c r="K162" s="281"/>
      <c r="L162" s="285"/>
    </row>
    <row r="163" spans="2:12">
      <c r="B163" s="286"/>
      <c r="C163" s="286"/>
      <c r="D163" s="286"/>
      <c r="E163" s="95"/>
      <c r="F163" s="95"/>
      <c r="G163" s="103">
        <v>3</v>
      </c>
      <c r="H163" s="104" t="s">
        <v>442</v>
      </c>
      <c r="I163" s="104" t="s">
        <v>441</v>
      </c>
      <c r="J163" s="173"/>
      <c r="K163" s="281"/>
      <c r="L163" s="285"/>
    </row>
    <row r="164" spans="2:12">
      <c r="B164" s="286"/>
      <c r="C164" s="286"/>
      <c r="D164" s="286"/>
      <c r="E164" s="95"/>
      <c r="F164" s="95"/>
      <c r="G164" s="103">
        <v>4</v>
      </c>
      <c r="H164" s="104" t="s">
        <v>497</v>
      </c>
      <c r="I164" s="104" t="s">
        <v>441</v>
      </c>
      <c r="J164" s="173"/>
      <c r="K164" s="281"/>
      <c r="L164" s="285"/>
    </row>
    <row r="165" spans="2:12">
      <c r="B165" s="286"/>
      <c r="C165" s="286"/>
      <c r="D165" s="284"/>
      <c r="E165" s="95"/>
      <c r="F165" s="95"/>
      <c r="G165" s="103">
        <v>5</v>
      </c>
      <c r="H165" s="104" t="s">
        <v>444</v>
      </c>
      <c r="I165" s="104" t="s">
        <v>495</v>
      </c>
      <c r="J165" s="173"/>
      <c r="K165" s="281"/>
      <c r="L165" s="285"/>
    </row>
    <row r="166" spans="2:12">
      <c r="B166" s="283" t="s">
        <v>436</v>
      </c>
      <c r="C166" s="283" t="s">
        <v>437</v>
      </c>
      <c r="D166" s="283" t="s">
        <v>91</v>
      </c>
      <c r="E166" s="94"/>
      <c r="F166" s="94"/>
      <c r="G166" s="103">
        <v>1</v>
      </c>
      <c r="H166" s="104" t="s">
        <v>444</v>
      </c>
      <c r="I166" s="104" t="s">
        <v>492</v>
      </c>
      <c r="J166" s="173"/>
      <c r="K166" s="281"/>
      <c r="L166" s="285" t="s">
        <v>424</v>
      </c>
    </row>
    <row r="167" spans="2:12">
      <c r="B167" s="286"/>
      <c r="C167" s="286"/>
      <c r="D167" s="286"/>
      <c r="E167" s="95"/>
      <c r="F167" s="95"/>
      <c r="G167" s="103">
        <v>2</v>
      </c>
      <c r="H167" s="104" t="s">
        <v>440</v>
      </c>
      <c r="I167" s="104" t="s">
        <v>441</v>
      </c>
      <c r="J167" s="173"/>
      <c r="K167" s="281"/>
      <c r="L167" s="285"/>
    </row>
    <row r="168" spans="2:12">
      <c r="B168" s="286"/>
      <c r="C168" s="286"/>
      <c r="D168" s="286"/>
      <c r="E168" s="95"/>
      <c r="F168" s="95"/>
      <c r="G168" s="103">
        <v>3</v>
      </c>
      <c r="H168" s="104" t="s">
        <v>442</v>
      </c>
      <c r="I168" s="104" t="s">
        <v>441</v>
      </c>
      <c r="J168" s="173"/>
      <c r="K168" s="281"/>
      <c r="L168" s="285"/>
    </row>
    <row r="169" spans="2:12">
      <c r="B169" s="286"/>
      <c r="C169" s="286"/>
      <c r="D169" s="286"/>
      <c r="E169" s="95"/>
      <c r="F169" s="95"/>
      <c r="G169" s="103">
        <v>4</v>
      </c>
      <c r="H169" s="104" t="s">
        <v>497</v>
      </c>
      <c r="I169" s="104" t="s">
        <v>441</v>
      </c>
      <c r="J169" s="173"/>
      <c r="K169" s="281"/>
      <c r="L169" s="285"/>
    </row>
    <row r="170" spans="2:12">
      <c r="B170" s="286"/>
      <c r="C170" s="286"/>
      <c r="D170" s="284"/>
      <c r="E170" s="95"/>
      <c r="F170" s="95"/>
      <c r="G170" s="103">
        <v>5</v>
      </c>
      <c r="H170" s="104" t="s">
        <v>444</v>
      </c>
      <c r="I170" s="104" t="s">
        <v>495</v>
      </c>
      <c r="J170" s="173"/>
      <c r="K170" s="281"/>
      <c r="L170" s="285"/>
    </row>
    <row r="171" spans="2:12">
      <c r="B171" s="342" t="s">
        <v>502</v>
      </c>
      <c r="C171" s="343"/>
      <c r="D171" s="343"/>
      <c r="E171" s="343"/>
      <c r="F171" s="343"/>
      <c r="G171" s="343"/>
      <c r="H171" s="343"/>
      <c r="I171" s="343"/>
      <c r="J171" s="343"/>
      <c r="K171" s="343"/>
      <c r="L171" s="344"/>
    </row>
    <row r="172" spans="2:12">
      <c r="B172" s="268" t="s">
        <v>416</v>
      </c>
      <c r="C172" s="268" t="s">
        <v>503</v>
      </c>
      <c r="D172" s="268" t="s">
        <v>91</v>
      </c>
      <c r="E172" s="268"/>
      <c r="F172" s="133"/>
      <c r="G172" s="167">
        <v>1</v>
      </c>
      <c r="H172" s="148" t="s">
        <v>142</v>
      </c>
      <c r="I172" s="148" t="s">
        <v>143</v>
      </c>
      <c r="J172" s="148" t="s">
        <v>143</v>
      </c>
      <c r="K172" s="281"/>
      <c r="L172" s="285"/>
    </row>
    <row r="173" spans="2:12">
      <c r="B173" s="268"/>
      <c r="C173" s="268"/>
      <c r="D173" s="268"/>
      <c r="E173" s="268"/>
      <c r="F173" s="133"/>
      <c r="G173" s="167">
        <v>2</v>
      </c>
      <c r="H173" s="148" t="s">
        <v>482</v>
      </c>
      <c r="I173" s="148" t="s">
        <v>146</v>
      </c>
      <c r="J173" s="148" t="s">
        <v>146</v>
      </c>
      <c r="K173" s="281"/>
      <c r="L173" s="285"/>
    </row>
    <row r="174" spans="2:12" ht="46.5" customHeight="1">
      <c r="B174" s="268"/>
      <c r="C174" s="268"/>
      <c r="D174" s="268"/>
      <c r="E174" s="268"/>
      <c r="F174" s="133"/>
      <c r="G174" s="167">
        <v>3</v>
      </c>
      <c r="H174" s="148" t="s">
        <v>470</v>
      </c>
      <c r="I174" s="148" t="s">
        <v>186</v>
      </c>
      <c r="J174" s="148" t="s">
        <v>471</v>
      </c>
      <c r="K174" s="281"/>
      <c r="L174" s="285"/>
    </row>
    <row r="175" spans="2:12">
      <c r="B175" s="268" t="s">
        <v>416</v>
      </c>
      <c r="C175" s="268" t="s">
        <v>504</v>
      </c>
      <c r="D175" s="268" t="s">
        <v>91</v>
      </c>
      <c r="E175" s="268"/>
      <c r="F175" s="133"/>
      <c r="G175" s="167">
        <v>1</v>
      </c>
      <c r="H175" s="148" t="s">
        <v>142</v>
      </c>
      <c r="I175" s="148" t="s">
        <v>143</v>
      </c>
      <c r="J175" s="148" t="s">
        <v>143</v>
      </c>
      <c r="K175" s="281"/>
      <c r="L175" s="285"/>
    </row>
    <row r="176" spans="2:12">
      <c r="B176" s="268"/>
      <c r="C176" s="268"/>
      <c r="D176" s="268"/>
      <c r="E176" s="268"/>
      <c r="F176" s="133"/>
      <c r="G176" s="167">
        <v>2</v>
      </c>
      <c r="H176" s="148" t="s">
        <v>482</v>
      </c>
      <c r="I176" s="148" t="s">
        <v>146</v>
      </c>
      <c r="J176" s="148" t="s">
        <v>146</v>
      </c>
      <c r="K176" s="281"/>
      <c r="L176" s="285"/>
    </row>
    <row r="177" spans="2:12" ht="46.5" customHeight="1">
      <c r="B177" s="268"/>
      <c r="C177" s="268"/>
      <c r="D177" s="268"/>
      <c r="E177" s="268"/>
      <c r="F177" s="133"/>
      <c r="G177" s="167">
        <v>3</v>
      </c>
      <c r="H177" s="148" t="s">
        <v>470</v>
      </c>
      <c r="I177" s="148" t="s">
        <v>186</v>
      </c>
      <c r="J177" s="148" t="s">
        <v>471</v>
      </c>
      <c r="K177" s="281"/>
      <c r="L177" s="285"/>
    </row>
    <row r="178" spans="2:12">
      <c r="B178" s="268" t="s">
        <v>416</v>
      </c>
      <c r="C178" s="268" t="s">
        <v>505</v>
      </c>
      <c r="D178" s="268" t="s">
        <v>91</v>
      </c>
      <c r="E178" s="268"/>
      <c r="F178" s="133"/>
      <c r="G178" s="167">
        <v>1</v>
      </c>
      <c r="H178" s="148" t="s">
        <v>142</v>
      </c>
      <c r="I178" s="148" t="s">
        <v>143</v>
      </c>
      <c r="J178" s="148" t="s">
        <v>143</v>
      </c>
      <c r="K178" s="281"/>
      <c r="L178" s="285"/>
    </row>
    <row r="179" spans="2:12">
      <c r="B179" s="268"/>
      <c r="C179" s="268"/>
      <c r="D179" s="268"/>
      <c r="E179" s="268"/>
      <c r="F179" s="133"/>
      <c r="G179" s="167">
        <v>2</v>
      </c>
      <c r="H179" s="148" t="s">
        <v>482</v>
      </c>
      <c r="I179" s="148" t="s">
        <v>146</v>
      </c>
      <c r="J179" s="148" t="s">
        <v>146</v>
      </c>
      <c r="K179" s="281"/>
      <c r="L179" s="285"/>
    </row>
    <row r="180" spans="2:12" ht="46.5" customHeight="1">
      <c r="B180" s="268"/>
      <c r="C180" s="268"/>
      <c r="D180" s="268"/>
      <c r="E180" s="268"/>
      <c r="F180" s="133"/>
      <c r="G180" s="167">
        <v>3</v>
      </c>
      <c r="H180" s="148" t="s">
        <v>470</v>
      </c>
      <c r="I180" s="148" t="s">
        <v>186</v>
      </c>
      <c r="J180" s="148" t="s">
        <v>471</v>
      </c>
      <c r="K180" s="281"/>
      <c r="L180" s="285"/>
    </row>
    <row r="181" spans="2:12">
      <c r="B181" s="268" t="s">
        <v>416</v>
      </c>
      <c r="C181" s="268" t="s">
        <v>483</v>
      </c>
      <c r="D181" s="268" t="s">
        <v>91</v>
      </c>
      <c r="E181" s="268"/>
      <c r="F181" s="133"/>
      <c r="G181" s="167">
        <v>1</v>
      </c>
      <c r="H181" s="148" t="s">
        <v>142</v>
      </c>
      <c r="I181" s="148" t="s">
        <v>143</v>
      </c>
      <c r="J181" s="148" t="s">
        <v>143</v>
      </c>
      <c r="K181" s="281"/>
      <c r="L181" s="285" t="s">
        <v>506</v>
      </c>
    </row>
    <row r="182" spans="2:12">
      <c r="B182" s="268"/>
      <c r="C182" s="268"/>
      <c r="D182" s="268"/>
      <c r="E182" s="268"/>
      <c r="F182" s="133"/>
      <c r="G182" s="167">
        <v>2</v>
      </c>
      <c r="H182" s="148" t="s">
        <v>482</v>
      </c>
      <c r="I182" s="148" t="s">
        <v>146</v>
      </c>
      <c r="J182" s="148" t="s">
        <v>146</v>
      </c>
      <c r="K182" s="281"/>
      <c r="L182" s="285"/>
    </row>
    <row r="183" spans="2:12" ht="46.5" customHeight="1">
      <c r="B183" s="268"/>
      <c r="C183" s="268"/>
      <c r="D183" s="268"/>
      <c r="E183" s="268"/>
      <c r="F183" s="133"/>
      <c r="G183" s="167">
        <v>3</v>
      </c>
      <c r="H183" s="148" t="s">
        <v>470</v>
      </c>
      <c r="I183" s="148" t="s">
        <v>186</v>
      </c>
      <c r="J183" s="148" t="s">
        <v>471</v>
      </c>
      <c r="K183" s="281"/>
      <c r="L183" s="285"/>
    </row>
    <row r="184" spans="2:12">
      <c r="B184" s="268" t="s">
        <v>416</v>
      </c>
      <c r="C184" s="268" t="s">
        <v>507</v>
      </c>
      <c r="D184" s="268" t="s">
        <v>91</v>
      </c>
      <c r="E184" s="268"/>
      <c r="F184" s="133"/>
      <c r="G184" s="167">
        <v>1</v>
      </c>
      <c r="H184" s="148" t="s">
        <v>142</v>
      </c>
      <c r="I184" s="148" t="s">
        <v>143</v>
      </c>
      <c r="J184" s="148" t="s">
        <v>143</v>
      </c>
      <c r="K184" s="281"/>
      <c r="L184" s="285"/>
    </row>
    <row r="185" spans="2:12">
      <c r="B185" s="268"/>
      <c r="C185" s="268"/>
      <c r="D185" s="268"/>
      <c r="E185" s="268"/>
      <c r="F185" s="133"/>
      <c r="G185" s="167">
        <v>2</v>
      </c>
      <c r="H185" s="148" t="s">
        <v>482</v>
      </c>
      <c r="I185" s="148" t="s">
        <v>146</v>
      </c>
      <c r="J185" s="148" t="s">
        <v>146</v>
      </c>
      <c r="K185" s="281"/>
      <c r="L185" s="285"/>
    </row>
    <row r="186" spans="2:12" ht="46.5" customHeight="1">
      <c r="B186" s="268"/>
      <c r="C186" s="268"/>
      <c r="D186" s="268"/>
      <c r="E186" s="268"/>
      <c r="F186" s="133"/>
      <c r="G186" s="167">
        <v>3</v>
      </c>
      <c r="H186" s="148" t="s">
        <v>470</v>
      </c>
      <c r="I186" s="148" t="s">
        <v>186</v>
      </c>
      <c r="J186" s="148" t="s">
        <v>471</v>
      </c>
      <c r="K186" s="281"/>
      <c r="L186" s="285"/>
    </row>
    <row r="187" spans="2:12">
      <c r="B187" s="268" t="s">
        <v>416</v>
      </c>
      <c r="C187" s="268" t="s">
        <v>485</v>
      </c>
      <c r="D187" s="268" t="s">
        <v>91</v>
      </c>
      <c r="E187" s="268"/>
      <c r="F187" s="133"/>
      <c r="G187" s="167">
        <v>1</v>
      </c>
      <c r="H187" s="148" t="s">
        <v>142</v>
      </c>
      <c r="I187" s="148" t="s">
        <v>143</v>
      </c>
      <c r="J187" s="148" t="s">
        <v>143</v>
      </c>
      <c r="K187" s="281"/>
      <c r="L187" s="285"/>
    </row>
    <row r="188" spans="2:12">
      <c r="B188" s="268"/>
      <c r="C188" s="268"/>
      <c r="D188" s="268"/>
      <c r="E188" s="268"/>
      <c r="F188" s="133"/>
      <c r="G188" s="167">
        <v>2</v>
      </c>
      <c r="H188" s="148" t="s">
        <v>482</v>
      </c>
      <c r="I188" s="148" t="s">
        <v>146</v>
      </c>
      <c r="J188" s="148" t="s">
        <v>146</v>
      </c>
      <c r="K188" s="281"/>
      <c r="L188" s="285"/>
    </row>
    <row r="189" spans="2:12" ht="29">
      <c r="B189" s="268"/>
      <c r="C189" s="268"/>
      <c r="D189" s="268"/>
      <c r="E189" s="268"/>
      <c r="F189" s="133"/>
      <c r="G189" s="167">
        <v>3</v>
      </c>
      <c r="H189" s="148" t="s">
        <v>470</v>
      </c>
      <c r="I189" s="148" t="s">
        <v>186</v>
      </c>
      <c r="J189" s="148" t="s">
        <v>471</v>
      </c>
      <c r="K189" s="281"/>
      <c r="L189" s="285"/>
    </row>
    <row r="190" spans="2:12">
      <c r="B190" s="268" t="s">
        <v>416</v>
      </c>
      <c r="C190" s="268" t="s">
        <v>486</v>
      </c>
      <c r="D190" s="268" t="s">
        <v>91</v>
      </c>
      <c r="E190" s="268"/>
      <c r="F190" s="133"/>
      <c r="G190" s="167">
        <v>1</v>
      </c>
      <c r="H190" s="148" t="s">
        <v>142</v>
      </c>
      <c r="I190" s="148" t="s">
        <v>143</v>
      </c>
      <c r="J190" s="148" t="s">
        <v>143</v>
      </c>
      <c r="K190" s="281"/>
      <c r="L190" s="285"/>
    </row>
    <row r="191" spans="2:12">
      <c r="B191" s="268"/>
      <c r="C191" s="268"/>
      <c r="D191" s="268"/>
      <c r="E191" s="268"/>
      <c r="F191" s="133"/>
      <c r="G191" s="167">
        <v>2</v>
      </c>
      <c r="H191" s="148" t="s">
        <v>482</v>
      </c>
      <c r="I191" s="148" t="s">
        <v>146</v>
      </c>
      <c r="J191" s="148" t="s">
        <v>146</v>
      </c>
      <c r="K191" s="281"/>
      <c r="L191" s="285"/>
    </row>
    <row r="192" spans="2:12" ht="29">
      <c r="B192" s="268"/>
      <c r="C192" s="268"/>
      <c r="D192" s="268"/>
      <c r="E192" s="268"/>
      <c r="F192" s="133"/>
      <c r="G192" s="167">
        <v>3</v>
      </c>
      <c r="H192" s="148" t="s">
        <v>470</v>
      </c>
      <c r="I192" s="148" t="s">
        <v>186</v>
      </c>
      <c r="J192" s="148" t="s">
        <v>471</v>
      </c>
      <c r="K192" s="281"/>
      <c r="L192" s="285"/>
    </row>
    <row r="193" spans="2:12">
      <c r="B193" s="286" t="s">
        <v>468</v>
      </c>
      <c r="C193" s="340" t="s">
        <v>487</v>
      </c>
      <c r="D193" s="268" t="s">
        <v>91</v>
      </c>
      <c r="E193" s="328"/>
      <c r="F193" s="160"/>
      <c r="G193" s="168">
        <v>1</v>
      </c>
      <c r="H193" s="169" t="s">
        <v>142</v>
      </c>
      <c r="I193" s="169" t="s">
        <v>143</v>
      </c>
      <c r="J193" s="169" t="s">
        <v>143</v>
      </c>
      <c r="K193" s="290"/>
      <c r="L193" s="304"/>
    </row>
    <row r="194" spans="2:12">
      <c r="B194" s="286"/>
      <c r="C194" s="340"/>
      <c r="D194" s="268"/>
      <c r="E194" s="268"/>
      <c r="F194" s="133"/>
      <c r="G194" s="167">
        <v>2</v>
      </c>
      <c r="H194" s="148" t="s">
        <v>482</v>
      </c>
      <c r="I194" s="148" t="s">
        <v>146</v>
      </c>
      <c r="J194" s="148" t="s">
        <v>146</v>
      </c>
      <c r="K194" s="281"/>
      <c r="L194" s="285"/>
    </row>
    <row r="195" spans="2:12" ht="29">
      <c r="B195" s="286"/>
      <c r="C195" s="340"/>
      <c r="D195" s="268"/>
      <c r="E195" s="268"/>
      <c r="F195" s="133"/>
      <c r="G195" s="167">
        <v>3</v>
      </c>
      <c r="H195" s="148" t="s">
        <v>470</v>
      </c>
      <c r="I195" s="148" t="s">
        <v>186</v>
      </c>
      <c r="J195" s="148" t="s">
        <v>471</v>
      </c>
      <c r="K195" s="281"/>
      <c r="L195" s="285"/>
    </row>
    <row r="196" spans="2:12">
      <c r="B196" s="268" t="s">
        <v>416</v>
      </c>
      <c r="C196" s="268" t="s">
        <v>463</v>
      </c>
      <c r="D196" s="268" t="s">
        <v>91</v>
      </c>
      <c r="E196" s="268"/>
      <c r="F196" s="133"/>
      <c r="G196" s="167">
        <v>1</v>
      </c>
      <c r="H196" s="148" t="s">
        <v>142</v>
      </c>
      <c r="I196" s="148" t="s">
        <v>143</v>
      </c>
      <c r="J196" s="148" t="s">
        <v>143</v>
      </c>
      <c r="K196" s="281"/>
      <c r="L196" s="341" t="s">
        <v>488</v>
      </c>
    </row>
    <row r="197" spans="2:12">
      <c r="B197" s="268"/>
      <c r="C197" s="268"/>
      <c r="D197" s="268"/>
      <c r="E197" s="268"/>
      <c r="F197" s="133"/>
      <c r="G197" s="167">
        <v>2</v>
      </c>
      <c r="H197" s="148" t="s">
        <v>482</v>
      </c>
      <c r="I197" s="148" t="s">
        <v>146</v>
      </c>
      <c r="J197" s="148" t="s">
        <v>146</v>
      </c>
      <c r="K197" s="281"/>
      <c r="L197" s="341"/>
    </row>
    <row r="198" spans="2:12" ht="29">
      <c r="B198" s="268"/>
      <c r="C198" s="268"/>
      <c r="D198" s="268"/>
      <c r="E198" s="268"/>
      <c r="F198" s="133"/>
      <c r="G198" s="167">
        <v>3</v>
      </c>
      <c r="H198" s="148" t="s">
        <v>470</v>
      </c>
      <c r="I198" s="148" t="s">
        <v>186</v>
      </c>
      <c r="J198" s="148" t="s">
        <v>471</v>
      </c>
      <c r="K198" s="281"/>
      <c r="L198" s="341"/>
    </row>
    <row r="199" spans="2:12" ht="43.5">
      <c r="B199" s="283" t="s">
        <v>489</v>
      </c>
      <c r="C199" s="283" t="s">
        <v>490</v>
      </c>
      <c r="D199" s="283" t="s">
        <v>91</v>
      </c>
      <c r="E199" s="94" t="s">
        <v>491</v>
      </c>
      <c r="F199" s="94"/>
      <c r="G199" s="103">
        <v>1</v>
      </c>
      <c r="H199" s="104" t="s">
        <v>444</v>
      </c>
      <c r="I199" s="104" t="s">
        <v>492</v>
      </c>
      <c r="J199" s="173"/>
      <c r="K199" s="281"/>
      <c r="L199" s="285"/>
    </row>
    <row r="200" spans="2:12">
      <c r="B200" s="286"/>
      <c r="C200" s="286"/>
      <c r="D200" s="286"/>
      <c r="E200" s="95"/>
      <c r="F200" s="95"/>
      <c r="G200" s="103">
        <v>2</v>
      </c>
      <c r="H200" s="104" t="s">
        <v>493</v>
      </c>
      <c r="I200" s="104" t="s">
        <v>441</v>
      </c>
      <c r="J200" s="173"/>
      <c r="K200" s="281"/>
      <c r="L200" s="285"/>
    </row>
    <row r="201" spans="2:12">
      <c r="B201" s="286"/>
      <c r="C201" s="286"/>
      <c r="D201" s="286"/>
      <c r="E201" s="95"/>
      <c r="F201" s="95"/>
      <c r="G201" s="103">
        <v>3</v>
      </c>
      <c r="H201" s="104" t="s">
        <v>442</v>
      </c>
      <c r="I201" s="104" t="s">
        <v>441</v>
      </c>
      <c r="J201" s="173"/>
      <c r="K201" s="281"/>
      <c r="L201" s="285"/>
    </row>
    <row r="202" spans="2:12">
      <c r="B202" s="286"/>
      <c r="C202" s="286"/>
      <c r="D202" s="286"/>
      <c r="E202" s="95"/>
      <c r="F202" s="95"/>
      <c r="G202" s="103">
        <v>4</v>
      </c>
      <c r="H202" s="104" t="s">
        <v>494</v>
      </c>
      <c r="I202" s="104" t="s">
        <v>441</v>
      </c>
      <c r="J202" s="173"/>
      <c r="K202" s="281"/>
      <c r="L202" s="285"/>
    </row>
    <row r="203" spans="2:12">
      <c r="B203" s="286"/>
      <c r="C203" s="286"/>
      <c r="D203" s="284"/>
      <c r="E203" s="95"/>
      <c r="F203" s="95"/>
      <c r="G203" s="103">
        <v>5</v>
      </c>
      <c r="H203" s="104" t="s">
        <v>444</v>
      </c>
      <c r="I203" s="104" t="s">
        <v>495</v>
      </c>
      <c r="J203" s="173"/>
      <c r="K203" s="281"/>
      <c r="L203" s="285"/>
    </row>
    <row r="204" spans="2:12" ht="43.5">
      <c r="B204" s="283" t="s">
        <v>489</v>
      </c>
      <c r="C204" s="283" t="s">
        <v>496</v>
      </c>
      <c r="D204" s="283" t="s">
        <v>91</v>
      </c>
      <c r="E204" s="94" t="s">
        <v>491</v>
      </c>
      <c r="F204" s="94"/>
      <c r="G204" s="103">
        <v>1</v>
      </c>
      <c r="H204" s="104" t="s">
        <v>444</v>
      </c>
      <c r="I204" s="104" t="s">
        <v>492</v>
      </c>
      <c r="J204" s="173"/>
      <c r="K204" s="281"/>
      <c r="L204" s="339"/>
    </row>
    <row r="205" spans="2:12">
      <c r="B205" s="286"/>
      <c r="C205" s="286"/>
      <c r="D205" s="286"/>
      <c r="E205" s="95"/>
      <c r="F205" s="95"/>
      <c r="G205" s="103">
        <v>2</v>
      </c>
      <c r="H205" s="104" t="s">
        <v>493</v>
      </c>
      <c r="I205" s="104" t="s">
        <v>441</v>
      </c>
      <c r="J205" s="173"/>
      <c r="K205" s="281"/>
      <c r="L205" s="339"/>
    </row>
    <row r="206" spans="2:12">
      <c r="B206" s="286"/>
      <c r="C206" s="286"/>
      <c r="D206" s="286"/>
      <c r="E206" s="95"/>
      <c r="F206" s="95"/>
      <c r="G206" s="103">
        <v>3</v>
      </c>
      <c r="H206" s="104" t="s">
        <v>442</v>
      </c>
      <c r="I206" s="104" t="s">
        <v>441</v>
      </c>
      <c r="J206" s="173"/>
      <c r="K206" s="281"/>
      <c r="L206" s="339"/>
    </row>
    <row r="207" spans="2:12">
      <c r="B207" s="286"/>
      <c r="C207" s="286"/>
      <c r="D207" s="286"/>
      <c r="E207" s="95"/>
      <c r="F207" s="95"/>
      <c r="G207" s="103">
        <v>4</v>
      </c>
      <c r="H207" s="104" t="s">
        <v>494</v>
      </c>
      <c r="I207" s="104" t="s">
        <v>441</v>
      </c>
      <c r="J207" s="173"/>
      <c r="K207" s="281"/>
      <c r="L207" s="339"/>
    </row>
    <row r="208" spans="2:12">
      <c r="B208" s="286"/>
      <c r="C208" s="286"/>
      <c r="D208" s="284"/>
      <c r="E208" s="95"/>
      <c r="F208" s="95"/>
      <c r="G208" s="103">
        <v>5</v>
      </c>
      <c r="H208" s="104" t="s">
        <v>444</v>
      </c>
      <c r="I208" s="104" t="s">
        <v>495</v>
      </c>
      <c r="J208" s="173"/>
      <c r="K208" s="281"/>
      <c r="L208" s="339"/>
    </row>
    <row r="209" spans="2:12">
      <c r="B209" s="283" t="s">
        <v>419</v>
      </c>
      <c r="C209" s="283" t="s">
        <v>357</v>
      </c>
      <c r="D209" s="283" t="s">
        <v>91</v>
      </c>
      <c r="E209" s="94"/>
      <c r="F209" s="94"/>
      <c r="G209" s="103">
        <v>1</v>
      </c>
      <c r="H209" s="104" t="s">
        <v>444</v>
      </c>
      <c r="I209" s="104" t="s">
        <v>492</v>
      </c>
      <c r="J209" s="173"/>
      <c r="K209" s="281"/>
      <c r="L209" s="285"/>
    </row>
    <row r="210" spans="2:12">
      <c r="B210" s="286"/>
      <c r="C210" s="286"/>
      <c r="D210" s="286"/>
      <c r="E210" s="95"/>
      <c r="F210" s="95"/>
      <c r="G210" s="103">
        <v>2</v>
      </c>
      <c r="H210" s="104" t="s">
        <v>440</v>
      </c>
      <c r="I210" s="104" t="s">
        <v>441</v>
      </c>
      <c r="J210" s="173"/>
      <c r="K210" s="281"/>
      <c r="L210" s="285"/>
    </row>
    <row r="211" spans="2:12">
      <c r="B211" s="286"/>
      <c r="C211" s="286"/>
      <c r="D211" s="286"/>
      <c r="E211" s="95"/>
      <c r="F211" s="95"/>
      <c r="G211" s="103">
        <v>3</v>
      </c>
      <c r="H211" s="104" t="s">
        <v>442</v>
      </c>
      <c r="I211" s="104" t="s">
        <v>441</v>
      </c>
      <c r="J211" s="173"/>
      <c r="K211" s="281"/>
      <c r="L211" s="285"/>
    </row>
    <row r="212" spans="2:12">
      <c r="B212" s="286"/>
      <c r="C212" s="286"/>
      <c r="D212" s="286"/>
      <c r="E212" s="95"/>
      <c r="F212" s="95"/>
      <c r="G212" s="103">
        <v>4</v>
      </c>
      <c r="H212" s="104" t="s">
        <v>497</v>
      </c>
      <c r="I212" s="104" t="s">
        <v>441</v>
      </c>
      <c r="J212" s="173"/>
      <c r="K212" s="281"/>
      <c r="L212" s="285"/>
    </row>
    <row r="213" spans="2:12">
      <c r="B213" s="286"/>
      <c r="C213" s="286"/>
      <c r="D213" s="284"/>
      <c r="E213" s="95"/>
      <c r="F213" s="95"/>
      <c r="G213" s="103">
        <v>5</v>
      </c>
      <c r="H213" s="104" t="s">
        <v>444</v>
      </c>
      <c r="I213" s="104" t="s">
        <v>495</v>
      </c>
      <c r="J213" s="173"/>
      <c r="K213" s="281"/>
      <c r="L213" s="285"/>
    </row>
    <row r="214" spans="2:12">
      <c r="B214" s="283" t="s">
        <v>419</v>
      </c>
      <c r="C214" s="283" t="s">
        <v>498</v>
      </c>
      <c r="D214" s="283" t="s">
        <v>91</v>
      </c>
      <c r="E214" s="94"/>
      <c r="F214" s="94"/>
      <c r="G214" s="103">
        <v>1</v>
      </c>
      <c r="H214" s="104" t="s">
        <v>444</v>
      </c>
      <c r="I214" s="104" t="s">
        <v>492</v>
      </c>
      <c r="J214" s="173"/>
      <c r="K214" s="281"/>
      <c r="L214" s="285"/>
    </row>
    <row r="215" spans="2:12">
      <c r="B215" s="286"/>
      <c r="C215" s="286"/>
      <c r="D215" s="286"/>
      <c r="E215" s="95"/>
      <c r="F215" s="95"/>
      <c r="G215" s="103">
        <v>2</v>
      </c>
      <c r="H215" s="104" t="s">
        <v>440</v>
      </c>
      <c r="I215" s="104" t="s">
        <v>441</v>
      </c>
      <c r="J215" s="173"/>
      <c r="K215" s="281"/>
      <c r="L215" s="285"/>
    </row>
    <row r="216" spans="2:12">
      <c r="B216" s="286"/>
      <c r="C216" s="286"/>
      <c r="D216" s="286"/>
      <c r="E216" s="95"/>
      <c r="F216" s="95"/>
      <c r="G216" s="103">
        <v>3</v>
      </c>
      <c r="H216" s="104" t="s">
        <v>442</v>
      </c>
      <c r="I216" s="104" t="s">
        <v>441</v>
      </c>
      <c r="J216" s="173"/>
      <c r="K216" s="281"/>
      <c r="L216" s="285"/>
    </row>
    <row r="217" spans="2:12">
      <c r="B217" s="286"/>
      <c r="C217" s="286"/>
      <c r="D217" s="286"/>
      <c r="E217" s="95"/>
      <c r="F217" s="95"/>
      <c r="G217" s="103">
        <v>4</v>
      </c>
      <c r="H217" s="104" t="s">
        <v>497</v>
      </c>
      <c r="I217" s="104" t="s">
        <v>441</v>
      </c>
      <c r="J217" s="173"/>
      <c r="K217" s="281"/>
      <c r="L217" s="285"/>
    </row>
    <row r="218" spans="2:12">
      <c r="B218" s="286"/>
      <c r="C218" s="286"/>
      <c r="D218" s="284"/>
      <c r="E218" s="95"/>
      <c r="F218" s="95"/>
      <c r="G218" s="103">
        <v>5</v>
      </c>
      <c r="H218" s="104" t="s">
        <v>444</v>
      </c>
      <c r="I218" s="104" t="s">
        <v>495</v>
      </c>
      <c r="J218" s="173"/>
      <c r="K218" s="281"/>
      <c r="L218" s="285"/>
    </row>
    <row r="219" spans="2:12">
      <c r="B219" s="283" t="s">
        <v>419</v>
      </c>
      <c r="C219" s="283" t="s">
        <v>499</v>
      </c>
      <c r="D219" s="283" t="s">
        <v>91</v>
      </c>
      <c r="E219" s="94"/>
      <c r="F219" s="94"/>
      <c r="G219" s="103">
        <v>1</v>
      </c>
      <c r="H219" s="104" t="s">
        <v>444</v>
      </c>
      <c r="I219" s="104" t="s">
        <v>492</v>
      </c>
      <c r="J219" s="173"/>
      <c r="K219" s="281"/>
      <c r="L219" s="285"/>
    </row>
    <row r="220" spans="2:12">
      <c r="B220" s="286"/>
      <c r="C220" s="286"/>
      <c r="D220" s="286"/>
      <c r="E220" s="95"/>
      <c r="F220" s="95"/>
      <c r="G220" s="103">
        <v>2</v>
      </c>
      <c r="H220" s="104" t="s">
        <v>440</v>
      </c>
      <c r="I220" s="104" t="s">
        <v>441</v>
      </c>
      <c r="J220" s="173"/>
      <c r="K220" s="281"/>
      <c r="L220" s="285"/>
    </row>
    <row r="221" spans="2:12">
      <c r="B221" s="286"/>
      <c r="C221" s="286"/>
      <c r="D221" s="286"/>
      <c r="E221" s="95"/>
      <c r="F221" s="95"/>
      <c r="G221" s="103">
        <v>3</v>
      </c>
      <c r="H221" s="104" t="s">
        <v>442</v>
      </c>
      <c r="I221" s="104" t="s">
        <v>441</v>
      </c>
      <c r="J221" s="173"/>
      <c r="K221" s="281"/>
      <c r="L221" s="285"/>
    </row>
    <row r="222" spans="2:12">
      <c r="B222" s="286"/>
      <c r="C222" s="286"/>
      <c r="D222" s="286"/>
      <c r="E222" s="95"/>
      <c r="F222" s="95"/>
      <c r="G222" s="103">
        <v>4</v>
      </c>
      <c r="H222" s="104" t="s">
        <v>497</v>
      </c>
      <c r="I222" s="104" t="s">
        <v>441</v>
      </c>
      <c r="J222" s="173"/>
      <c r="K222" s="281"/>
      <c r="L222" s="285"/>
    </row>
    <row r="223" spans="2:12">
      <c r="B223" s="286"/>
      <c r="C223" s="286"/>
      <c r="D223" s="284"/>
      <c r="E223" s="95"/>
      <c r="F223" s="95"/>
      <c r="G223" s="103">
        <v>5</v>
      </c>
      <c r="H223" s="104" t="s">
        <v>444</v>
      </c>
      <c r="I223" s="104" t="s">
        <v>495</v>
      </c>
      <c r="J223" s="173"/>
      <c r="K223" s="281"/>
      <c r="L223" s="285"/>
    </row>
    <row r="224" spans="2:12">
      <c r="B224" s="283" t="s">
        <v>419</v>
      </c>
      <c r="C224" s="283" t="s">
        <v>500</v>
      </c>
      <c r="D224" s="283" t="s">
        <v>91</v>
      </c>
      <c r="E224" s="94"/>
      <c r="F224" s="94"/>
      <c r="G224" s="103">
        <v>1</v>
      </c>
      <c r="H224" s="104" t="s">
        <v>444</v>
      </c>
      <c r="I224" s="104" t="s">
        <v>492</v>
      </c>
      <c r="J224" s="173"/>
      <c r="K224" s="281"/>
      <c r="L224" s="285" t="s">
        <v>424</v>
      </c>
    </row>
    <row r="225" spans="2:12">
      <c r="B225" s="286"/>
      <c r="C225" s="286"/>
      <c r="D225" s="286"/>
      <c r="E225" s="95"/>
      <c r="F225" s="95"/>
      <c r="G225" s="103">
        <v>2</v>
      </c>
      <c r="H225" s="104" t="s">
        <v>440</v>
      </c>
      <c r="I225" s="104" t="s">
        <v>441</v>
      </c>
      <c r="J225" s="173"/>
      <c r="K225" s="281"/>
      <c r="L225" s="285"/>
    </row>
    <row r="226" spans="2:12">
      <c r="B226" s="286"/>
      <c r="C226" s="286"/>
      <c r="D226" s="286"/>
      <c r="E226" s="95"/>
      <c r="F226" s="95"/>
      <c r="G226" s="103">
        <v>3</v>
      </c>
      <c r="H226" s="104" t="s">
        <v>442</v>
      </c>
      <c r="I226" s="104" t="s">
        <v>441</v>
      </c>
      <c r="J226" s="173"/>
      <c r="K226" s="281"/>
      <c r="L226" s="285"/>
    </row>
    <row r="227" spans="2:12">
      <c r="B227" s="286"/>
      <c r="C227" s="286"/>
      <c r="D227" s="286"/>
      <c r="E227" s="95"/>
      <c r="F227" s="95"/>
      <c r="G227" s="103">
        <v>4</v>
      </c>
      <c r="H227" s="104" t="s">
        <v>497</v>
      </c>
      <c r="I227" s="104" t="s">
        <v>441</v>
      </c>
      <c r="J227" s="173"/>
      <c r="K227" s="281"/>
      <c r="L227" s="285"/>
    </row>
    <row r="228" spans="2:12">
      <c r="B228" s="286"/>
      <c r="C228" s="286"/>
      <c r="D228" s="284"/>
      <c r="E228" s="95"/>
      <c r="F228" s="95"/>
      <c r="G228" s="103">
        <v>5</v>
      </c>
      <c r="H228" s="104" t="s">
        <v>444</v>
      </c>
      <c r="I228" s="104" t="s">
        <v>495</v>
      </c>
      <c r="J228" s="173"/>
      <c r="K228" s="281"/>
      <c r="L228" s="285"/>
    </row>
    <row r="229" spans="2:12">
      <c r="B229" s="283" t="s">
        <v>429</v>
      </c>
      <c r="C229" s="283" t="s">
        <v>501</v>
      </c>
      <c r="D229" s="283" t="s">
        <v>91</v>
      </c>
      <c r="E229" s="94"/>
      <c r="F229" s="94"/>
      <c r="G229" s="103">
        <v>1</v>
      </c>
      <c r="H229" s="104" t="s">
        <v>444</v>
      </c>
      <c r="I229" s="104" t="s">
        <v>492</v>
      </c>
      <c r="J229" s="173"/>
      <c r="K229" s="281"/>
      <c r="L229" s="285" t="s">
        <v>424</v>
      </c>
    </row>
    <row r="230" spans="2:12">
      <c r="B230" s="286"/>
      <c r="C230" s="286"/>
      <c r="D230" s="286"/>
      <c r="E230" s="95"/>
      <c r="F230" s="95"/>
      <c r="G230" s="103">
        <v>2</v>
      </c>
      <c r="H230" s="104" t="s">
        <v>440</v>
      </c>
      <c r="I230" s="104" t="s">
        <v>441</v>
      </c>
      <c r="J230" s="173"/>
      <c r="K230" s="281"/>
      <c r="L230" s="285"/>
    </row>
    <row r="231" spans="2:12">
      <c r="B231" s="286"/>
      <c r="C231" s="286"/>
      <c r="D231" s="286"/>
      <c r="E231" s="95"/>
      <c r="F231" s="95"/>
      <c r="G231" s="103">
        <v>3</v>
      </c>
      <c r="H231" s="104" t="s">
        <v>442</v>
      </c>
      <c r="I231" s="104" t="s">
        <v>441</v>
      </c>
      <c r="J231" s="173"/>
      <c r="K231" s="281"/>
      <c r="L231" s="285"/>
    </row>
    <row r="232" spans="2:12">
      <c r="B232" s="286"/>
      <c r="C232" s="286"/>
      <c r="D232" s="286"/>
      <c r="E232" s="95"/>
      <c r="F232" s="95"/>
      <c r="G232" s="103">
        <v>4</v>
      </c>
      <c r="H232" s="104" t="s">
        <v>497</v>
      </c>
      <c r="I232" s="104" t="s">
        <v>441</v>
      </c>
      <c r="J232" s="173"/>
      <c r="K232" s="281"/>
      <c r="L232" s="285"/>
    </row>
    <row r="233" spans="2:12">
      <c r="B233" s="286"/>
      <c r="C233" s="286"/>
      <c r="D233" s="284"/>
      <c r="E233" s="95"/>
      <c r="F233" s="95"/>
      <c r="G233" s="103">
        <v>5</v>
      </c>
      <c r="H233" s="104" t="s">
        <v>444</v>
      </c>
      <c r="I233" s="104" t="s">
        <v>495</v>
      </c>
      <c r="J233" s="173"/>
      <c r="K233" s="281"/>
      <c r="L233" s="285"/>
    </row>
    <row r="234" spans="2:12">
      <c r="B234" s="283" t="s">
        <v>436</v>
      </c>
      <c r="C234" s="283" t="s">
        <v>437</v>
      </c>
      <c r="D234" s="283" t="s">
        <v>91</v>
      </c>
      <c r="E234" s="94"/>
      <c r="F234" s="94"/>
      <c r="G234" s="103">
        <v>1</v>
      </c>
      <c r="H234" s="104" t="s">
        <v>444</v>
      </c>
      <c r="I234" s="104" t="s">
        <v>492</v>
      </c>
      <c r="J234" s="173"/>
      <c r="K234" s="281"/>
      <c r="L234" s="285" t="s">
        <v>424</v>
      </c>
    </row>
    <row r="235" spans="2:12">
      <c r="B235" s="286"/>
      <c r="C235" s="286"/>
      <c r="D235" s="286"/>
      <c r="E235" s="95"/>
      <c r="F235" s="95"/>
      <c r="G235" s="103">
        <v>2</v>
      </c>
      <c r="H235" s="104" t="s">
        <v>440</v>
      </c>
      <c r="I235" s="104" t="s">
        <v>441</v>
      </c>
      <c r="J235" s="173"/>
      <c r="K235" s="281"/>
      <c r="L235" s="285"/>
    </row>
    <row r="236" spans="2:12">
      <c r="B236" s="286"/>
      <c r="C236" s="286"/>
      <c r="D236" s="286"/>
      <c r="E236" s="95"/>
      <c r="F236" s="95"/>
      <c r="G236" s="103">
        <v>3</v>
      </c>
      <c r="H236" s="104" t="s">
        <v>442</v>
      </c>
      <c r="I236" s="104" t="s">
        <v>441</v>
      </c>
      <c r="J236" s="173"/>
      <c r="K236" s="281"/>
      <c r="L236" s="285"/>
    </row>
    <row r="237" spans="2:12">
      <c r="B237" s="286"/>
      <c r="C237" s="286"/>
      <c r="D237" s="286"/>
      <c r="E237" s="95"/>
      <c r="F237" s="95"/>
      <c r="G237" s="103">
        <v>4</v>
      </c>
      <c r="H237" s="104" t="s">
        <v>497</v>
      </c>
      <c r="I237" s="104" t="s">
        <v>441</v>
      </c>
      <c r="J237" s="173"/>
      <c r="K237" s="281"/>
      <c r="L237" s="285"/>
    </row>
    <row r="238" spans="2:12">
      <c r="B238" s="286"/>
      <c r="C238" s="286"/>
      <c r="D238" s="284"/>
      <c r="E238" s="95"/>
      <c r="F238" s="95"/>
      <c r="G238" s="103">
        <v>5</v>
      </c>
      <c r="H238" s="104" t="s">
        <v>444</v>
      </c>
      <c r="I238" s="104" t="s">
        <v>495</v>
      </c>
      <c r="J238" s="173"/>
      <c r="K238" s="281"/>
      <c r="L238" s="285"/>
    </row>
    <row r="239" spans="2:12">
      <c r="B239" s="294"/>
      <c r="C239" s="294"/>
      <c r="D239" s="294"/>
      <c r="E239" s="294"/>
      <c r="F239" s="294"/>
      <c r="G239" s="294"/>
      <c r="H239" s="294"/>
      <c r="I239" s="294"/>
      <c r="J239" s="294"/>
      <c r="K239" s="282"/>
      <c r="L239" s="282"/>
    </row>
    <row r="240" spans="2:12">
      <c r="K240" s="4"/>
    </row>
    <row r="241" spans="11:11">
      <c r="K241" s="4"/>
    </row>
    <row r="242" spans="11:11">
      <c r="K242" s="4"/>
    </row>
    <row r="243" spans="11:11">
      <c r="K243" s="4"/>
    </row>
    <row r="244" spans="11:11">
      <c r="K244" s="4"/>
    </row>
  </sheetData>
  <mergeCells count="317">
    <mergeCell ref="B44:B48"/>
    <mergeCell ref="C44:C48"/>
    <mergeCell ref="D44:D48"/>
    <mergeCell ref="E44:E48"/>
    <mergeCell ref="K44:K48"/>
    <mergeCell ref="L44:L48"/>
    <mergeCell ref="B49:L49"/>
    <mergeCell ref="B50:B54"/>
    <mergeCell ref="C50:C54"/>
    <mergeCell ref="D50:D54"/>
    <mergeCell ref="E50:E54"/>
    <mergeCell ref="K50:K54"/>
    <mergeCell ref="L50:L54"/>
    <mergeCell ref="D34:D38"/>
    <mergeCell ref="E34:E38"/>
    <mergeCell ref="K34:K38"/>
    <mergeCell ref="L34:L38"/>
    <mergeCell ref="B39:B43"/>
    <mergeCell ref="C39:C43"/>
    <mergeCell ref="D39:D43"/>
    <mergeCell ref="E39:E43"/>
    <mergeCell ref="K39:K43"/>
    <mergeCell ref="L39:L43"/>
    <mergeCell ref="D19:D23"/>
    <mergeCell ref="E19:E23"/>
    <mergeCell ref="K19:K23"/>
    <mergeCell ref="L19:L23"/>
    <mergeCell ref="K109:K111"/>
    <mergeCell ref="L109:L111"/>
    <mergeCell ref="B14:B18"/>
    <mergeCell ref="C14:C18"/>
    <mergeCell ref="D14:D18"/>
    <mergeCell ref="E14:E18"/>
    <mergeCell ref="K14:K18"/>
    <mergeCell ref="L14:L18"/>
    <mergeCell ref="B19:B23"/>
    <mergeCell ref="C19:C23"/>
    <mergeCell ref="B97:B99"/>
    <mergeCell ref="C97:C99"/>
    <mergeCell ref="D97:D99"/>
    <mergeCell ref="E97:E99"/>
    <mergeCell ref="K97:K99"/>
    <mergeCell ref="L97:L99"/>
    <mergeCell ref="B106:B108"/>
    <mergeCell ref="C106:C108"/>
    <mergeCell ref="B34:B38"/>
    <mergeCell ref="C34:C38"/>
    <mergeCell ref="B2:B3"/>
    <mergeCell ref="G6:H6"/>
    <mergeCell ref="B7:L7"/>
    <mergeCell ref="B8:L8"/>
    <mergeCell ref="B9:B13"/>
    <mergeCell ref="C9:C13"/>
    <mergeCell ref="D9:D13"/>
    <mergeCell ref="E9:E13"/>
    <mergeCell ref="K9:K13"/>
    <mergeCell ref="L9:L13"/>
    <mergeCell ref="B24:B28"/>
    <mergeCell ref="C24:C28"/>
    <mergeCell ref="D24:D28"/>
    <mergeCell ref="E24:E28"/>
    <mergeCell ref="K24:K28"/>
    <mergeCell ref="L24:L28"/>
    <mergeCell ref="B29:B33"/>
    <mergeCell ref="C29:C33"/>
    <mergeCell ref="D29:D33"/>
    <mergeCell ref="E29:E33"/>
    <mergeCell ref="K29:K33"/>
    <mergeCell ref="L29:L33"/>
    <mergeCell ref="B55:B59"/>
    <mergeCell ref="C55:C59"/>
    <mergeCell ref="D55:D59"/>
    <mergeCell ref="E55:E59"/>
    <mergeCell ref="K55:K59"/>
    <mergeCell ref="L55:L59"/>
    <mergeCell ref="B60:B64"/>
    <mergeCell ref="C60:C64"/>
    <mergeCell ref="D60:D64"/>
    <mergeCell ref="E60:E64"/>
    <mergeCell ref="K60:K64"/>
    <mergeCell ref="L60:L64"/>
    <mergeCell ref="B65:B69"/>
    <mergeCell ref="C65:C69"/>
    <mergeCell ref="D65:D69"/>
    <mergeCell ref="E65:E69"/>
    <mergeCell ref="K65:K69"/>
    <mergeCell ref="L65:L69"/>
    <mergeCell ref="B70:B74"/>
    <mergeCell ref="C70:C74"/>
    <mergeCell ref="D70:D74"/>
    <mergeCell ref="E70:E74"/>
    <mergeCell ref="K70:K74"/>
    <mergeCell ref="L70:L74"/>
    <mergeCell ref="B75:B79"/>
    <mergeCell ref="C75:C79"/>
    <mergeCell ref="D75:D79"/>
    <mergeCell ref="E75:E79"/>
    <mergeCell ref="K75:K79"/>
    <mergeCell ref="L75:L79"/>
    <mergeCell ref="B80:B84"/>
    <mergeCell ref="C80:C84"/>
    <mergeCell ref="D80:D84"/>
    <mergeCell ref="E80:E84"/>
    <mergeCell ref="K80:K84"/>
    <mergeCell ref="L80:L84"/>
    <mergeCell ref="B85:B89"/>
    <mergeCell ref="C85:C89"/>
    <mergeCell ref="D85:D89"/>
    <mergeCell ref="E85:E89"/>
    <mergeCell ref="K85:K89"/>
    <mergeCell ref="L85:L89"/>
    <mergeCell ref="B90:L90"/>
    <mergeCell ref="B91:B93"/>
    <mergeCell ref="C91:C93"/>
    <mergeCell ref="D91:D93"/>
    <mergeCell ref="E91:E93"/>
    <mergeCell ref="K91:K93"/>
    <mergeCell ref="L91:L93"/>
    <mergeCell ref="B94:B96"/>
    <mergeCell ref="C94:C96"/>
    <mergeCell ref="D94:D96"/>
    <mergeCell ref="E94:E96"/>
    <mergeCell ref="K94:K96"/>
    <mergeCell ref="L94:L96"/>
    <mergeCell ref="B100:B102"/>
    <mergeCell ref="C100:C102"/>
    <mergeCell ref="D100:D102"/>
    <mergeCell ref="E100:E102"/>
    <mergeCell ref="K100:K102"/>
    <mergeCell ref="L100:L102"/>
    <mergeCell ref="B103:B105"/>
    <mergeCell ref="C103:C105"/>
    <mergeCell ref="D103:D105"/>
    <mergeCell ref="E103:E105"/>
    <mergeCell ref="K103:K105"/>
    <mergeCell ref="L103:L105"/>
    <mergeCell ref="D106:D108"/>
    <mergeCell ref="E106:E108"/>
    <mergeCell ref="K106:K108"/>
    <mergeCell ref="L106:L108"/>
    <mergeCell ref="B112:L112"/>
    <mergeCell ref="B113:B115"/>
    <mergeCell ref="C113:C115"/>
    <mergeCell ref="D113:D115"/>
    <mergeCell ref="E113:E115"/>
    <mergeCell ref="K113:K115"/>
    <mergeCell ref="L113:L115"/>
    <mergeCell ref="B109:B111"/>
    <mergeCell ref="C109:C111"/>
    <mergeCell ref="D109:D111"/>
    <mergeCell ref="E109:E111"/>
    <mergeCell ref="B116:B118"/>
    <mergeCell ref="C116:C118"/>
    <mergeCell ref="D116:D118"/>
    <mergeCell ref="E116:E118"/>
    <mergeCell ref="K116:K118"/>
    <mergeCell ref="L116:L118"/>
    <mergeCell ref="B119:B121"/>
    <mergeCell ref="C119:C121"/>
    <mergeCell ref="D119:D121"/>
    <mergeCell ref="E119:E121"/>
    <mergeCell ref="K119:K121"/>
    <mergeCell ref="L119:L121"/>
    <mergeCell ref="B122:B124"/>
    <mergeCell ref="C122:C124"/>
    <mergeCell ref="D122:D124"/>
    <mergeCell ref="E122:E124"/>
    <mergeCell ref="K122:K124"/>
    <mergeCell ref="L122:L124"/>
    <mergeCell ref="B125:B127"/>
    <mergeCell ref="C125:C127"/>
    <mergeCell ref="D125:D127"/>
    <mergeCell ref="E125:E127"/>
    <mergeCell ref="K125:K127"/>
    <mergeCell ref="L125:L127"/>
    <mergeCell ref="B128:B130"/>
    <mergeCell ref="C128:C130"/>
    <mergeCell ref="D128:D130"/>
    <mergeCell ref="E128:E130"/>
    <mergeCell ref="K128:K130"/>
    <mergeCell ref="L128:L130"/>
    <mergeCell ref="B131:B135"/>
    <mergeCell ref="C131:C135"/>
    <mergeCell ref="D131:D135"/>
    <mergeCell ref="K131:K135"/>
    <mergeCell ref="L131:L135"/>
    <mergeCell ref="B136:B140"/>
    <mergeCell ref="C136:C140"/>
    <mergeCell ref="D136:D140"/>
    <mergeCell ref="K136:K140"/>
    <mergeCell ref="L136:L140"/>
    <mergeCell ref="B141:B145"/>
    <mergeCell ref="C141:C145"/>
    <mergeCell ref="D141:D145"/>
    <mergeCell ref="K141:K145"/>
    <mergeCell ref="L141:L145"/>
    <mergeCell ref="B146:B150"/>
    <mergeCell ref="C146:C150"/>
    <mergeCell ref="D146:D150"/>
    <mergeCell ref="K146:K150"/>
    <mergeCell ref="L146:L150"/>
    <mergeCell ref="B151:B155"/>
    <mergeCell ref="C151:C155"/>
    <mergeCell ref="D151:D155"/>
    <mergeCell ref="K151:K155"/>
    <mergeCell ref="L151:L155"/>
    <mergeCell ref="B156:B160"/>
    <mergeCell ref="C156:C160"/>
    <mergeCell ref="D156:D160"/>
    <mergeCell ref="K156:K160"/>
    <mergeCell ref="L156:L160"/>
    <mergeCell ref="B161:B165"/>
    <mergeCell ref="C161:C165"/>
    <mergeCell ref="D161:D165"/>
    <mergeCell ref="K161:K165"/>
    <mergeCell ref="L161:L165"/>
    <mergeCell ref="B166:B170"/>
    <mergeCell ref="C166:C170"/>
    <mergeCell ref="D166:D170"/>
    <mergeCell ref="K166:K170"/>
    <mergeCell ref="L166:L170"/>
    <mergeCell ref="B171:L171"/>
    <mergeCell ref="B172:B174"/>
    <mergeCell ref="C172:C174"/>
    <mergeCell ref="D172:D174"/>
    <mergeCell ref="E172:E174"/>
    <mergeCell ref="K172:K174"/>
    <mergeCell ref="L172:L174"/>
    <mergeCell ref="B175:B177"/>
    <mergeCell ref="C175:C177"/>
    <mergeCell ref="D175:D177"/>
    <mergeCell ref="E175:E177"/>
    <mergeCell ref="K175:K177"/>
    <mergeCell ref="L175:L177"/>
    <mergeCell ref="B178:B180"/>
    <mergeCell ref="C178:C180"/>
    <mergeCell ref="D178:D180"/>
    <mergeCell ref="E178:E180"/>
    <mergeCell ref="K178:K180"/>
    <mergeCell ref="L178:L180"/>
    <mergeCell ref="B181:B183"/>
    <mergeCell ref="C181:C183"/>
    <mergeCell ref="D181:D183"/>
    <mergeCell ref="E181:E183"/>
    <mergeCell ref="K181:K183"/>
    <mergeCell ref="L181:L183"/>
    <mergeCell ref="B184:B186"/>
    <mergeCell ref="C184:C186"/>
    <mergeCell ref="D184:D186"/>
    <mergeCell ref="E184:E186"/>
    <mergeCell ref="K184:K186"/>
    <mergeCell ref="L184:L186"/>
    <mergeCell ref="B187:B189"/>
    <mergeCell ref="C187:C189"/>
    <mergeCell ref="D187:D189"/>
    <mergeCell ref="E187:E189"/>
    <mergeCell ref="K187:K189"/>
    <mergeCell ref="L187:L189"/>
    <mergeCell ref="B190:B192"/>
    <mergeCell ref="C190:C192"/>
    <mergeCell ref="D190:D192"/>
    <mergeCell ref="E190:E192"/>
    <mergeCell ref="K190:K192"/>
    <mergeCell ref="L190:L192"/>
    <mergeCell ref="B193:B195"/>
    <mergeCell ref="C193:C195"/>
    <mergeCell ref="D193:D195"/>
    <mergeCell ref="E193:E195"/>
    <mergeCell ref="K193:K195"/>
    <mergeCell ref="L193:L195"/>
    <mergeCell ref="B196:B198"/>
    <mergeCell ref="C196:C198"/>
    <mergeCell ref="D196:D198"/>
    <mergeCell ref="E196:E198"/>
    <mergeCell ref="K196:K198"/>
    <mergeCell ref="L196:L198"/>
    <mergeCell ref="B199:B203"/>
    <mergeCell ref="C199:C203"/>
    <mergeCell ref="D199:D203"/>
    <mergeCell ref="K199:K203"/>
    <mergeCell ref="L199:L203"/>
    <mergeCell ref="B204:B208"/>
    <mergeCell ref="C204:C208"/>
    <mergeCell ref="D204:D208"/>
    <mergeCell ref="K204:K208"/>
    <mergeCell ref="L204:L208"/>
    <mergeCell ref="B209:B213"/>
    <mergeCell ref="C209:C213"/>
    <mergeCell ref="D209:D213"/>
    <mergeCell ref="K209:K213"/>
    <mergeCell ref="L209:L213"/>
    <mergeCell ref="B214:B218"/>
    <mergeCell ref="C214:C218"/>
    <mergeCell ref="D214:D218"/>
    <mergeCell ref="K214:K218"/>
    <mergeCell ref="L214:L218"/>
    <mergeCell ref="B219:B223"/>
    <mergeCell ref="C219:C223"/>
    <mergeCell ref="D219:D223"/>
    <mergeCell ref="K219:K223"/>
    <mergeCell ref="L219:L223"/>
    <mergeCell ref="B224:B228"/>
    <mergeCell ref="C224:C228"/>
    <mergeCell ref="D224:D228"/>
    <mergeCell ref="K224:K228"/>
    <mergeCell ref="L224:L228"/>
    <mergeCell ref="B239:L239"/>
    <mergeCell ref="B229:B233"/>
    <mergeCell ref="C229:C233"/>
    <mergeCell ref="D229:D233"/>
    <mergeCell ref="K229:K233"/>
    <mergeCell ref="L229:L233"/>
    <mergeCell ref="B234:B238"/>
    <mergeCell ref="C234:C238"/>
    <mergeCell ref="D234:D238"/>
    <mergeCell ref="K234:K238"/>
    <mergeCell ref="L234:L238"/>
  </mergeCells>
  <conditionalFormatting sqref="K9">
    <cfRule type="cellIs" dxfId="267" priority="61" operator="equal">
      <formula>"."</formula>
    </cfRule>
    <cfRule type="cellIs" dxfId="266" priority="62" operator="equal">
      <formula>1</formula>
    </cfRule>
    <cfRule type="cellIs" dxfId="265" priority="63" operator="equal">
      <formula>0</formula>
    </cfRule>
  </conditionalFormatting>
  <conditionalFormatting sqref="K14 K19">
    <cfRule type="cellIs" dxfId="264" priority="58" operator="equal">
      <formula>"."</formula>
    </cfRule>
    <cfRule type="cellIs" dxfId="263" priority="59" operator="equal">
      <formula>1</formula>
    </cfRule>
    <cfRule type="cellIs" dxfId="262" priority="60" operator="equal">
      <formula>0</formula>
    </cfRule>
  </conditionalFormatting>
  <conditionalFormatting sqref="K24">
    <cfRule type="cellIs" dxfId="261" priority="56" operator="equal">
      <formula>1</formula>
    </cfRule>
    <cfRule type="cellIs" dxfId="260" priority="57" operator="equal">
      <formula>0</formula>
    </cfRule>
    <cfRule type="cellIs" dxfId="259" priority="55" operator="equal">
      <formula>"."</formula>
    </cfRule>
  </conditionalFormatting>
  <conditionalFormatting sqref="K29 K34 K44 K199">
    <cfRule type="cellIs" dxfId="258" priority="146" operator="equal">
      <formula>1</formula>
    </cfRule>
    <cfRule type="cellIs" dxfId="257" priority="145" operator="equal">
      <formula>"."</formula>
    </cfRule>
    <cfRule type="cellIs" dxfId="256" priority="147" operator="equal">
      <formula>0</formula>
    </cfRule>
  </conditionalFormatting>
  <conditionalFormatting sqref="K39">
    <cfRule type="cellIs" dxfId="255" priority="64" operator="equal">
      <formula>"."</formula>
    </cfRule>
    <cfRule type="cellIs" dxfId="254" priority="65" operator="equal">
      <formula>1</formula>
    </cfRule>
    <cfRule type="cellIs" dxfId="253" priority="66" operator="equal">
      <formula>0</formula>
    </cfRule>
  </conditionalFormatting>
  <conditionalFormatting sqref="K50">
    <cfRule type="cellIs" dxfId="252" priority="86" operator="equal">
      <formula>1</formula>
    </cfRule>
    <cfRule type="cellIs" dxfId="251" priority="87" operator="equal">
      <formula>0</formula>
    </cfRule>
    <cfRule type="cellIs" dxfId="250" priority="85" operator="equal">
      <formula>"."</formula>
    </cfRule>
  </conditionalFormatting>
  <conditionalFormatting sqref="K55">
    <cfRule type="cellIs" dxfId="249" priority="82" operator="equal">
      <formula>"."</formula>
    </cfRule>
    <cfRule type="cellIs" dxfId="248" priority="83" operator="equal">
      <formula>1</formula>
    </cfRule>
    <cfRule type="cellIs" dxfId="247" priority="84" operator="equal">
      <formula>0</formula>
    </cfRule>
  </conditionalFormatting>
  <conditionalFormatting sqref="K60">
    <cfRule type="cellIs" dxfId="246" priority="115" operator="equal">
      <formula>"."</formula>
    </cfRule>
    <cfRule type="cellIs" dxfId="245" priority="116" operator="equal">
      <formula>1</formula>
    </cfRule>
    <cfRule type="cellIs" dxfId="244" priority="117" operator="equal">
      <formula>0</formula>
    </cfRule>
  </conditionalFormatting>
  <conditionalFormatting sqref="K65">
    <cfRule type="cellIs" dxfId="243" priority="114" operator="equal">
      <formula>0</formula>
    </cfRule>
    <cfRule type="cellIs" dxfId="242" priority="113" operator="equal">
      <formula>1</formula>
    </cfRule>
    <cfRule type="cellIs" dxfId="241" priority="112" operator="equal">
      <formula>"."</formula>
    </cfRule>
  </conditionalFormatting>
  <conditionalFormatting sqref="K70">
    <cfRule type="cellIs" dxfId="240" priority="79" operator="equal">
      <formula>"."</formula>
    </cfRule>
    <cfRule type="cellIs" dxfId="239" priority="81" operator="equal">
      <formula>0</formula>
    </cfRule>
    <cfRule type="cellIs" dxfId="238" priority="80" operator="equal">
      <formula>1</formula>
    </cfRule>
  </conditionalFormatting>
  <conditionalFormatting sqref="K75">
    <cfRule type="cellIs" dxfId="237" priority="78" operator="equal">
      <formula>0</formula>
    </cfRule>
    <cfRule type="cellIs" dxfId="236" priority="77" operator="equal">
      <formula>1</formula>
    </cfRule>
    <cfRule type="cellIs" dxfId="235" priority="76" operator="equal">
      <formula>"."</formula>
    </cfRule>
  </conditionalFormatting>
  <conditionalFormatting sqref="K80">
    <cfRule type="cellIs" dxfId="234" priority="72" operator="equal">
      <formula>0</formula>
    </cfRule>
    <cfRule type="cellIs" dxfId="233" priority="71" operator="equal">
      <formula>1</formula>
    </cfRule>
    <cfRule type="cellIs" dxfId="232" priority="70" operator="equal">
      <formula>"."</formula>
    </cfRule>
  </conditionalFormatting>
  <conditionalFormatting sqref="K85">
    <cfRule type="cellIs" dxfId="231" priority="105" operator="equal">
      <formula>0</formula>
    </cfRule>
    <cfRule type="cellIs" dxfId="230" priority="104" operator="equal">
      <formula>1</formula>
    </cfRule>
    <cfRule type="cellIs" dxfId="229" priority="103" operator="equal">
      <formula>"."</formula>
    </cfRule>
  </conditionalFormatting>
  <conditionalFormatting sqref="K91">
    <cfRule type="cellIs" dxfId="228" priority="102" operator="equal">
      <formula>0</formula>
    </cfRule>
    <cfRule type="cellIs" dxfId="227" priority="101" operator="equal">
      <formula>1</formula>
    </cfRule>
    <cfRule type="cellIs" dxfId="226" priority="100" operator="equal">
      <formula>"."</formula>
    </cfRule>
  </conditionalFormatting>
  <conditionalFormatting sqref="K94 K187">
    <cfRule type="cellIs" dxfId="225" priority="133" operator="equal">
      <formula>"."</formula>
    </cfRule>
    <cfRule type="cellIs" dxfId="224" priority="134" operator="equal">
      <formula>1</formula>
    </cfRule>
    <cfRule type="cellIs" dxfId="223" priority="135" operator="equal">
      <formula>0</formula>
    </cfRule>
  </conditionalFormatting>
  <conditionalFormatting sqref="K97">
    <cfRule type="cellIs" dxfId="222" priority="131" operator="equal">
      <formula>1</formula>
    </cfRule>
    <cfRule type="cellIs" dxfId="221" priority="132" operator="equal">
      <formula>0</formula>
    </cfRule>
    <cfRule type="cellIs" dxfId="220" priority="130" operator="equal">
      <formula>"."</formula>
    </cfRule>
  </conditionalFormatting>
  <conditionalFormatting sqref="K100">
    <cfRule type="cellIs" dxfId="219" priority="110" operator="equal">
      <formula>1</formula>
    </cfRule>
    <cfRule type="cellIs" dxfId="218" priority="109" operator="equal">
      <formula>"."</formula>
    </cfRule>
    <cfRule type="cellIs" dxfId="217" priority="111" operator="equal">
      <formula>0</formula>
    </cfRule>
  </conditionalFormatting>
  <conditionalFormatting sqref="K103">
    <cfRule type="cellIs" dxfId="216" priority="128" operator="equal">
      <formula>1</formula>
    </cfRule>
    <cfRule type="cellIs" dxfId="215" priority="127" operator="equal">
      <formula>"."</formula>
    </cfRule>
    <cfRule type="cellIs" dxfId="214" priority="129" operator="equal">
      <formula>0</formula>
    </cfRule>
  </conditionalFormatting>
  <conditionalFormatting sqref="K106">
    <cfRule type="cellIs" dxfId="213" priority="73" operator="equal">
      <formula>"."</formula>
    </cfRule>
    <cfRule type="cellIs" dxfId="212" priority="74" operator="equal">
      <formula>1</formula>
    </cfRule>
    <cfRule type="cellIs" dxfId="211" priority="75" operator="equal">
      <formula>0</formula>
    </cfRule>
  </conditionalFormatting>
  <conditionalFormatting sqref="K109">
    <cfRule type="cellIs" dxfId="210" priority="123" operator="equal">
      <formula>0</formula>
    </cfRule>
    <cfRule type="cellIs" dxfId="209" priority="122" operator="equal">
      <formula>1</formula>
    </cfRule>
    <cfRule type="cellIs" dxfId="208" priority="121" operator="equal">
      <formula>"."</formula>
    </cfRule>
  </conditionalFormatting>
  <conditionalFormatting sqref="K113">
    <cfRule type="cellIs" dxfId="207" priority="12" operator="equal">
      <formula>0</formula>
    </cfRule>
    <cfRule type="cellIs" dxfId="206" priority="10" operator="equal">
      <formula>"."</formula>
    </cfRule>
    <cfRule type="cellIs" dxfId="205" priority="11" operator="equal">
      <formula>1</formula>
    </cfRule>
  </conditionalFormatting>
  <conditionalFormatting sqref="K116">
    <cfRule type="cellIs" dxfId="204" priority="28" operator="equal">
      <formula>"."</formula>
    </cfRule>
    <cfRule type="cellIs" dxfId="203" priority="29" operator="equal">
      <formula>1</formula>
    </cfRule>
    <cfRule type="cellIs" dxfId="202" priority="30" operator="equal">
      <formula>0</formula>
    </cfRule>
  </conditionalFormatting>
  <conditionalFormatting sqref="K119">
    <cfRule type="cellIs" dxfId="201" priority="40" operator="equal">
      <formula>"."</formula>
    </cfRule>
    <cfRule type="cellIs" dxfId="200" priority="41" operator="equal">
      <formula>1</formula>
    </cfRule>
    <cfRule type="cellIs" dxfId="199" priority="42" operator="equal">
      <formula>0</formula>
    </cfRule>
  </conditionalFormatting>
  <conditionalFormatting sqref="K122">
    <cfRule type="cellIs" dxfId="198" priority="22" operator="equal">
      <formula>"."</formula>
    </cfRule>
    <cfRule type="cellIs" dxfId="197" priority="23" operator="equal">
      <formula>1</formula>
    </cfRule>
    <cfRule type="cellIs" dxfId="196" priority="24" operator="equal">
      <formula>0</formula>
    </cfRule>
  </conditionalFormatting>
  <conditionalFormatting sqref="K125">
    <cfRule type="cellIs" dxfId="195" priority="25" operator="equal">
      <formula>"."</formula>
    </cfRule>
    <cfRule type="cellIs" dxfId="194" priority="26" operator="equal">
      <formula>1</formula>
    </cfRule>
    <cfRule type="cellIs" dxfId="193" priority="27" operator="equal">
      <formula>0</formula>
    </cfRule>
  </conditionalFormatting>
  <conditionalFormatting sqref="K128">
    <cfRule type="cellIs" dxfId="192" priority="38" operator="equal">
      <formula>1</formula>
    </cfRule>
    <cfRule type="cellIs" dxfId="191" priority="39" operator="equal">
      <formula>0</formula>
    </cfRule>
    <cfRule type="cellIs" dxfId="190" priority="37" operator="equal">
      <formula>"."</formula>
    </cfRule>
  </conditionalFormatting>
  <conditionalFormatting sqref="K131">
    <cfRule type="cellIs" dxfId="189" priority="54" operator="equal">
      <formula>0</formula>
    </cfRule>
    <cfRule type="cellIs" dxfId="188" priority="53" operator="equal">
      <formula>1</formula>
    </cfRule>
    <cfRule type="cellIs" dxfId="187" priority="52" operator="equal">
      <formula>"."</formula>
    </cfRule>
  </conditionalFormatting>
  <conditionalFormatting sqref="K136">
    <cfRule type="cellIs" dxfId="186" priority="34" operator="equal">
      <formula>"."</formula>
    </cfRule>
    <cfRule type="cellIs" dxfId="185" priority="36" operator="equal">
      <formula>0</formula>
    </cfRule>
    <cfRule type="cellIs" dxfId="184" priority="35" operator="equal">
      <formula>1</formula>
    </cfRule>
  </conditionalFormatting>
  <conditionalFormatting sqref="K141">
    <cfRule type="cellIs" dxfId="183" priority="21" operator="equal">
      <formula>0</formula>
    </cfRule>
    <cfRule type="cellIs" dxfId="182" priority="19" operator="equal">
      <formula>"."</formula>
    </cfRule>
    <cfRule type="cellIs" dxfId="181" priority="20" operator="equal">
      <formula>1</formula>
    </cfRule>
  </conditionalFormatting>
  <conditionalFormatting sqref="K146">
    <cfRule type="cellIs" dxfId="180" priority="16" operator="equal">
      <formula>"."</formula>
    </cfRule>
    <cfRule type="cellIs" dxfId="179" priority="17" operator="equal">
      <formula>1</formula>
    </cfRule>
    <cfRule type="cellIs" dxfId="178" priority="18" operator="equal">
      <formula>0</formula>
    </cfRule>
  </conditionalFormatting>
  <conditionalFormatting sqref="K151">
    <cfRule type="cellIs" dxfId="177" priority="31" operator="equal">
      <formula>"."</formula>
    </cfRule>
    <cfRule type="cellIs" dxfId="176" priority="32" operator="equal">
      <formula>1</formula>
    </cfRule>
    <cfRule type="cellIs" dxfId="175" priority="33" operator="equal">
      <formula>0</formula>
    </cfRule>
  </conditionalFormatting>
  <conditionalFormatting sqref="K156">
    <cfRule type="cellIs" dxfId="174" priority="48" operator="equal">
      <formula>0</formula>
    </cfRule>
    <cfRule type="cellIs" dxfId="173" priority="47" operator="equal">
      <formula>1</formula>
    </cfRule>
    <cfRule type="cellIs" dxfId="172" priority="46" operator="equal">
      <formula>"."</formula>
    </cfRule>
  </conditionalFormatting>
  <conditionalFormatting sqref="K161">
    <cfRule type="cellIs" dxfId="171" priority="43" operator="equal">
      <formula>"."</formula>
    </cfRule>
    <cfRule type="cellIs" dxfId="170" priority="45" operator="equal">
      <formula>0</formula>
    </cfRule>
    <cfRule type="cellIs" dxfId="169" priority="44" operator="equal">
      <formula>1</formula>
    </cfRule>
  </conditionalFormatting>
  <conditionalFormatting sqref="K166">
    <cfRule type="cellIs" dxfId="168" priority="51" operator="equal">
      <formula>0</formula>
    </cfRule>
    <cfRule type="cellIs" dxfId="167" priority="50" operator="equal">
      <formula>1</formula>
    </cfRule>
    <cfRule type="cellIs" dxfId="166" priority="49" operator="equal">
      <formula>"."</formula>
    </cfRule>
  </conditionalFormatting>
  <conditionalFormatting sqref="K172">
    <cfRule type="cellIs" dxfId="165" priority="13" operator="equal">
      <formula>"."</formula>
    </cfRule>
    <cfRule type="cellIs" dxfId="164" priority="14" operator="equal">
      <formula>1</formula>
    </cfRule>
    <cfRule type="cellIs" dxfId="163" priority="15" operator="equal">
      <formula>0</formula>
    </cfRule>
  </conditionalFormatting>
  <conditionalFormatting sqref="K175">
    <cfRule type="cellIs" dxfId="162" priority="4" operator="equal">
      <formula>"."</formula>
    </cfRule>
    <cfRule type="cellIs" dxfId="161" priority="5" operator="equal">
      <formula>1</formula>
    </cfRule>
    <cfRule type="cellIs" dxfId="160" priority="6" operator="equal">
      <formula>0</formula>
    </cfRule>
  </conditionalFormatting>
  <conditionalFormatting sqref="K178">
    <cfRule type="cellIs" dxfId="159" priority="9" operator="equal">
      <formula>0</formula>
    </cfRule>
    <cfRule type="cellIs" dxfId="158" priority="7" operator="equal">
      <formula>"."</formula>
    </cfRule>
    <cfRule type="cellIs" dxfId="157" priority="8" operator="equal">
      <formula>1</formula>
    </cfRule>
  </conditionalFormatting>
  <conditionalFormatting sqref="K181">
    <cfRule type="cellIs" dxfId="156" priority="3" operator="equal">
      <formula>0</formula>
    </cfRule>
    <cfRule type="cellIs" dxfId="155" priority="1" operator="equal">
      <formula>"."</formula>
    </cfRule>
    <cfRule type="cellIs" dxfId="154" priority="2" operator="equal">
      <formula>1</formula>
    </cfRule>
  </conditionalFormatting>
  <conditionalFormatting sqref="K184">
    <cfRule type="cellIs" dxfId="153" priority="98" operator="equal">
      <formula>1</formula>
    </cfRule>
    <cfRule type="cellIs" dxfId="152" priority="97" operator="equal">
      <formula>"."</formula>
    </cfRule>
    <cfRule type="cellIs" dxfId="151" priority="99" operator="equal">
      <formula>0</formula>
    </cfRule>
  </conditionalFormatting>
  <conditionalFormatting sqref="K190">
    <cfRule type="cellIs" dxfId="150" priority="91" operator="equal">
      <formula>"."</formula>
    </cfRule>
    <cfRule type="cellIs" dxfId="149" priority="93" operator="equal">
      <formula>0</formula>
    </cfRule>
    <cfRule type="cellIs" dxfId="148" priority="92" operator="equal">
      <formula>1</formula>
    </cfRule>
  </conditionalFormatting>
  <conditionalFormatting sqref="K193">
    <cfRule type="cellIs" dxfId="147" priority="96" operator="equal">
      <formula>0</formula>
    </cfRule>
    <cfRule type="cellIs" dxfId="146" priority="95" operator="equal">
      <formula>1</formula>
    </cfRule>
    <cfRule type="cellIs" dxfId="145" priority="94" operator="equal">
      <formula>"."</formula>
    </cfRule>
  </conditionalFormatting>
  <conditionalFormatting sqref="K196">
    <cfRule type="cellIs" dxfId="144" priority="124" operator="equal">
      <formula>"."</formula>
    </cfRule>
    <cfRule type="cellIs" dxfId="143" priority="126" operator="equal">
      <formula>0</formula>
    </cfRule>
    <cfRule type="cellIs" dxfId="142" priority="125" operator="equal">
      <formula>1</formula>
    </cfRule>
  </conditionalFormatting>
  <conditionalFormatting sqref="K204">
    <cfRule type="cellIs" dxfId="141" priority="118" operator="equal">
      <formula>"."</formula>
    </cfRule>
    <cfRule type="cellIs" dxfId="140" priority="119" operator="equal">
      <formula>1</formula>
    </cfRule>
    <cfRule type="cellIs" dxfId="139" priority="120" operator="equal">
      <formula>0</formula>
    </cfRule>
  </conditionalFormatting>
  <conditionalFormatting sqref="K209">
    <cfRule type="cellIs" dxfId="138" priority="90" operator="equal">
      <formula>0</formula>
    </cfRule>
    <cfRule type="cellIs" dxfId="137" priority="89" operator="equal">
      <formula>1</formula>
    </cfRule>
    <cfRule type="cellIs" dxfId="136" priority="88" operator="equal">
      <formula>"."</formula>
    </cfRule>
  </conditionalFormatting>
  <conditionalFormatting sqref="K214">
    <cfRule type="cellIs" dxfId="135" priority="69" operator="equal">
      <formula>0</formula>
    </cfRule>
    <cfRule type="cellIs" dxfId="134" priority="68" operator="equal">
      <formula>1</formula>
    </cfRule>
    <cfRule type="cellIs" dxfId="133" priority="67" operator="equal">
      <formula>"."</formula>
    </cfRule>
  </conditionalFormatting>
  <conditionalFormatting sqref="K219">
    <cfRule type="cellIs" dxfId="132" priority="108" operator="equal">
      <formula>0</formula>
    </cfRule>
    <cfRule type="cellIs" dxfId="131" priority="106" operator="equal">
      <formula>"."</formula>
    </cfRule>
    <cfRule type="cellIs" dxfId="130" priority="107" operator="equal">
      <formula>1</formula>
    </cfRule>
  </conditionalFormatting>
  <conditionalFormatting sqref="K224">
    <cfRule type="cellIs" dxfId="129" priority="139" operator="equal">
      <formula>"."</formula>
    </cfRule>
    <cfRule type="cellIs" dxfId="128" priority="140" operator="equal">
      <formula>1</formula>
    </cfRule>
    <cfRule type="cellIs" dxfId="127" priority="141" operator="equal">
      <formula>0</formula>
    </cfRule>
  </conditionalFormatting>
  <conditionalFormatting sqref="K229">
    <cfRule type="cellIs" dxfId="126" priority="137" operator="equal">
      <formula>1</formula>
    </cfRule>
    <cfRule type="cellIs" dxfId="125" priority="138" operator="equal">
      <formula>0</formula>
    </cfRule>
    <cfRule type="cellIs" dxfId="124" priority="136" operator="equal">
      <formula>"."</formula>
    </cfRule>
  </conditionalFormatting>
  <conditionalFormatting sqref="K234">
    <cfRule type="cellIs" dxfId="123" priority="142" operator="equal">
      <formula>"."</formula>
    </cfRule>
    <cfRule type="cellIs" dxfId="122" priority="143" operator="equal">
      <formula>1</formula>
    </cfRule>
    <cfRule type="cellIs" dxfId="121" priority="144" operator="equal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CDAE-FED2-4466-AFF7-4E16F6CDEF2E}">
  <dimension ref="B1:R52"/>
  <sheetViews>
    <sheetView topLeftCell="B18" zoomScale="70" zoomScaleNormal="70" workbookViewId="0">
      <selection activeCell="L37" sqref="L37:L41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6" width="13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6384" width="9.1796875" style="4"/>
  </cols>
  <sheetData>
    <row r="1" spans="2:18">
      <c r="O1" s="5"/>
    </row>
    <row r="2" spans="2:18" ht="21.75" customHeight="1">
      <c r="B2" s="276">
        <f>SUM(O3:O4)/SUM(O6:O6)</f>
        <v>0</v>
      </c>
      <c r="C2" s="47"/>
      <c r="D2" s="47"/>
      <c r="E2" s="47"/>
      <c r="F2" s="47"/>
      <c r="G2" s="60"/>
      <c r="H2" s="24" t="s">
        <v>40</v>
      </c>
      <c r="I2" s="37"/>
      <c r="J2" s="37"/>
      <c r="K2" s="16"/>
      <c r="L2" s="15" t="s">
        <v>135</v>
      </c>
      <c r="N2" s="56" t="s">
        <v>41</v>
      </c>
      <c r="O2" s="55">
        <f>SUM(O3:O5)/O7</f>
        <v>0</v>
      </c>
      <c r="Q2" s="84" t="s">
        <v>42</v>
      </c>
    </row>
    <row r="3" spans="2:18" ht="43.5">
      <c r="B3" s="277"/>
      <c r="C3" s="48"/>
      <c r="D3" s="48"/>
      <c r="E3" s="48"/>
      <c r="F3" s="48"/>
      <c r="G3" s="61"/>
      <c r="H3" s="23" t="s">
        <v>43</v>
      </c>
      <c r="I3" s="38"/>
      <c r="J3" s="38"/>
      <c r="K3" s="12"/>
      <c r="L3" s="13" t="s">
        <v>136</v>
      </c>
      <c r="N3" s="57" t="s">
        <v>44</v>
      </c>
      <c r="O3" s="58">
        <f>COUNTIF(K7:K99,1)</f>
        <v>0</v>
      </c>
      <c r="Q3" s="84" t="s">
        <v>45</v>
      </c>
      <c r="R3" s="85">
        <f>COUNTIF(D8:D98,"Positive")</f>
        <v>3</v>
      </c>
    </row>
    <row r="4" spans="2:18" ht="43.5">
      <c r="B4" s="30" t="s">
        <v>46</v>
      </c>
      <c r="C4" s="49"/>
      <c r="D4" s="49"/>
      <c r="E4" s="49"/>
      <c r="F4" s="49"/>
      <c r="G4" s="62"/>
      <c r="H4" s="23" t="s">
        <v>47</v>
      </c>
      <c r="I4" s="38"/>
      <c r="J4" s="38"/>
      <c r="K4" s="12"/>
      <c r="L4" s="13" t="s">
        <v>137</v>
      </c>
      <c r="M4" s="22"/>
      <c r="N4" s="17" t="s">
        <v>49</v>
      </c>
      <c r="O4" s="18">
        <f>COUNTIF(K7:K99,0)</f>
        <v>0</v>
      </c>
      <c r="P4" s="5"/>
      <c r="Q4" s="84" t="s">
        <v>50</v>
      </c>
      <c r="R4" s="85">
        <f>COUNTIF(D9:D98,"Negative")</f>
        <v>5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COUNTIF(K9:K101,"Block")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138</v>
      </c>
      <c r="N6" s="19" t="s">
        <v>61</v>
      </c>
      <c r="O6" s="20">
        <f>COUNTIF(K7:K99,".")</f>
        <v>8</v>
      </c>
    </row>
    <row r="7" spans="2:18"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N7" s="21" t="s">
        <v>63</v>
      </c>
      <c r="O7" s="21">
        <f>SUM(O3:O6)</f>
        <v>8</v>
      </c>
    </row>
    <row r="8" spans="2:18">
      <c r="B8" s="293" t="s">
        <v>173</v>
      </c>
      <c r="C8" s="293"/>
      <c r="D8" s="293"/>
      <c r="E8" s="293"/>
      <c r="F8" s="293"/>
      <c r="G8" s="292"/>
      <c r="H8" s="292"/>
      <c r="I8" s="292"/>
      <c r="J8" s="293"/>
      <c r="K8" s="293"/>
      <c r="L8" s="293"/>
    </row>
    <row r="9" spans="2:18" ht="15" customHeight="1">
      <c r="B9" s="268" t="s">
        <v>508</v>
      </c>
      <c r="C9" s="268" t="s">
        <v>509</v>
      </c>
      <c r="D9" s="268" t="s">
        <v>66</v>
      </c>
      <c r="E9" s="268"/>
      <c r="F9" s="326"/>
      <c r="G9" s="153">
        <v>1</v>
      </c>
      <c r="H9" s="104" t="s">
        <v>510</v>
      </c>
      <c r="I9" s="157" t="s">
        <v>511</v>
      </c>
      <c r="J9" s="156"/>
      <c r="K9" s="281" t="s">
        <v>633</v>
      </c>
      <c r="L9" s="339" t="s">
        <v>512</v>
      </c>
    </row>
    <row r="10" spans="2:18" ht="29">
      <c r="B10" s="268"/>
      <c r="C10" s="268"/>
      <c r="D10" s="268"/>
      <c r="E10" s="268"/>
      <c r="F10" s="327"/>
      <c r="G10" s="153">
        <v>2</v>
      </c>
      <c r="H10" s="104" t="s">
        <v>513</v>
      </c>
      <c r="I10" s="157" t="s">
        <v>514</v>
      </c>
      <c r="J10" s="156"/>
      <c r="K10" s="281"/>
      <c r="L10" s="339"/>
    </row>
    <row r="11" spans="2:18">
      <c r="B11" s="268"/>
      <c r="C11" s="268"/>
      <c r="D11" s="268"/>
      <c r="E11" s="268"/>
      <c r="F11" s="327"/>
      <c r="G11" s="154">
        <v>3</v>
      </c>
      <c r="H11" s="149" t="s">
        <v>515</v>
      </c>
      <c r="I11" s="158" t="s">
        <v>516</v>
      </c>
      <c r="J11" s="156"/>
      <c r="K11" s="281"/>
      <c r="L11" s="339"/>
    </row>
    <row r="12" spans="2:18" ht="15" customHeight="1">
      <c r="B12" s="268"/>
      <c r="C12" s="268"/>
      <c r="D12" s="268"/>
      <c r="E12" s="268"/>
      <c r="F12" s="328"/>
      <c r="G12" s="155">
        <v>1</v>
      </c>
      <c r="H12" s="148" t="s">
        <v>517</v>
      </c>
      <c r="I12" s="159" t="s">
        <v>518</v>
      </c>
      <c r="J12" s="148"/>
      <c r="K12" s="281"/>
      <c r="L12" s="339"/>
    </row>
    <row r="13" spans="2:18" ht="15" customHeight="1">
      <c r="B13" s="268" t="s">
        <v>508</v>
      </c>
      <c r="C13" s="268" t="s">
        <v>519</v>
      </c>
      <c r="D13" s="268" t="s">
        <v>66</v>
      </c>
      <c r="E13" s="268"/>
      <c r="F13" s="326"/>
      <c r="G13" s="153">
        <v>1</v>
      </c>
      <c r="H13" s="104" t="s">
        <v>510</v>
      </c>
      <c r="I13" s="157" t="s">
        <v>511</v>
      </c>
      <c r="J13" s="156"/>
      <c r="K13" s="281" t="s">
        <v>633</v>
      </c>
      <c r="L13" s="339" t="s">
        <v>512</v>
      </c>
    </row>
    <row r="14" spans="2:18" ht="15" customHeight="1">
      <c r="B14" s="268"/>
      <c r="C14" s="268"/>
      <c r="D14" s="268"/>
      <c r="E14" s="268"/>
      <c r="F14" s="327"/>
      <c r="G14" s="153">
        <v>2</v>
      </c>
      <c r="H14" s="104" t="s">
        <v>513</v>
      </c>
      <c r="I14" s="157" t="s">
        <v>514</v>
      </c>
      <c r="J14" s="156"/>
      <c r="K14" s="281"/>
      <c r="L14" s="339"/>
    </row>
    <row r="15" spans="2:18" ht="15" customHeight="1">
      <c r="B15" s="268"/>
      <c r="C15" s="268"/>
      <c r="D15" s="268"/>
      <c r="E15" s="268"/>
      <c r="F15" s="327"/>
      <c r="G15" s="154">
        <v>3</v>
      </c>
      <c r="H15" s="149" t="s">
        <v>515</v>
      </c>
      <c r="I15" s="158" t="s">
        <v>516</v>
      </c>
      <c r="J15" s="156"/>
      <c r="K15" s="281"/>
      <c r="L15" s="339"/>
    </row>
    <row r="16" spans="2:18" ht="15" customHeight="1">
      <c r="B16" s="268"/>
      <c r="C16" s="268"/>
      <c r="D16" s="268"/>
      <c r="E16" s="268"/>
      <c r="F16" s="328"/>
      <c r="G16" s="155">
        <v>1</v>
      </c>
      <c r="H16" s="148" t="s">
        <v>517</v>
      </c>
      <c r="I16" s="159" t="s">
        <v>518</v>
      </c>
      <c r="J16" s="148"/>
      <c r="K16" s="281"/>
      <c r="L16" s="339"/>
    </row>
    <row r="17" spans="2:12" ht="15" customHeight="1">
      <c r="B17" s="268" t="s">
        <v>508</v>
      </c>
      <c r="C17" s="268" t="s">
        <v>520</v>
      </c>
      <c r="D17" s="268" t="s">
        <v>66</v>
      </c>
      <c r="E17" s="268"/>
      <c r="F17" s="326"/>
      <c r="G17" s="153">
        <v>1</v>
      </c>
      <c r="H17" s="104" t="s">
        <v>510</v>
      </c>
      <c r="I17" s="157" t="s">
        <v>511</v>
      </c>
      <c r="J17" s="156"/>
      <c r="K17" s="281" t="s">
        <v>633</v>
      </c>
      <c r="L17" s="339" t="s">
        <v>512</v>
      </c>
    </row>
    <row r="18" spans="2:12" ht="15" customHeight="1">
      <c r="B18" s="268"/>
      <c r="C18" s="268"/>
      <c r="D18" s="268"/>
      <c r="E18" s="268"/>
      <c r="F18" s="327"/>
      <c r="G18" s="153">
        <v>2</v>
      </c>
      <c r="H18" s="104" t="s">
        <v>521</v>
      </c>
      <c r="I18" s="157" t="s">
        <v>514</v>
      </c>
      <c r="J18" s="156"/>
      <c r="K18" s="281"/>
      <c r="L18" s="339"/>
    </row>
    <row r="19" spans="2:12" ht="15" customHeight="1">
      <c r="B19" s="268"/>
      <c r="C19" s="268"/>
      <c r="D19" s="268"/>
      <c r="E19" s="268"/>
      <c r="F19" s="327"/>
      <c r="G19" s="154">
        <v>3</v>
      </c>
      <c r="H19" s="149" t="s">
        <v>515</v>
      </c>
      <c r="I19" s="158" t="s">
        <v>516</v>
      </c>
      <c r="J19" s="156"/>
      <c r="K19" s="281"/>
      <c r="L19" s="339"/>
    </row>
    <row r="20" spans="2:12" ht="15" customHeight="1">
      <c r="B20" s="268"/>
      <c r="C20" s="268"/>
      <c r="D20" s="268"/>
      <c r="E20" s="268"/>
      <c r="F20" s="328"/>
      <c r="G20" s="155">
        <v>1</v>
      </c>
      <c r="H20" s="148" t="s">
        <v>517</v>
      </c>
      <c r="I20" s="159" t="s">
        <v>518</v>
      </c>
      <c r="J20" s="148"/>
      <c r="K20" s="281"/>
      <c r="L20" s="339"/>
    </row>
    <row r="21" spans="2:12" ht="15" customHeight="1">
      <c r="B21" s="353" t="s">
        <v>172</v>
      </c>
      <c r="C21" s="353"/>
      <c r="D21" s="353"/>
      <c r="E21" s="353"/>
      <c r="F21" s="353"/>
      <c r="G21" s="303"/>
      <c r="H21" s="303"/>
      <c r="I21" s="303"/>
      <c r="J21" s="303"/>
      <c r="K21" s="303"/>
      <c r="L21" s="303"/>
    </row>
    <row r="22" spans="2:12">
      <c r="B22" s="286" t="s">
        <v>508</v>
      </c>
      <c r="C22" s="286" t="s">
        <v>522</v>
      </c>
      <c r="D22" s="286" t="s">
        <v>91</v>
      </c>
      <c r="E22" s="95"/>
      <c r="F22" s="95"/>
      <c r="G22" s="150">
        <v>1</v>
      </c>
      <c r="H22" s="151" t="s">
        <v>444</v>
      </c>
      <c r="I22" s="151" t="s">
        <v>492</v>
      </c>
      <c r="J22" s="152"/>
      <c r="K22" s="313" t="s">
        <v>633</v>
      </c>
      <c r="L22" s="354"/>
    </row>
    <row r="23" spans="2:12">
      <c r="B23" s="286"/>
      <c r="C23" s="286"/>
      <c r="D23" s="286"/>
      <c r="E23" s="95"/>
      <c r="F23" s="95"/>
      <c r="G23" s="103">
        <v>2</v>
      </c>
      <c r="H23" s="104" t="s">
        <v>493</v>
      </c>
      <c r="I23" s="104" t="s">
        <v>441</v>
      </c>
      <c r="J23" s="105"/>
      <c r="K23" s="313"/>
      <c r="L23" s="354"/>
    </row>
    <row r="24" spans="2:12">
      <c r="B24" s="286"/>
      <c r="C24" s="286"/>
      <c r="D24" s="286"/>
      <c r="E24" s="95"/>
      <c r="F24" s="95"/>
      <c r="G24" s="103">
        <v>3</v>
      </c>
      <c r="H24" s="104" t="s">
        <v>442</v>
      </c>
      <c r="I24" s="104" t="s">
        <v>441</v>
      </c>
      <c r="J24" s="105"/>
      <c r="K24" s="313"/>
      <c r="L24" s="354"/>
    </row>
    <row r="25" spans="2:12">
      <c r="B25" s="286"/>
      <c r="C25" s="286"/>
      <c r="D25" s="286"/>
      <c r="E25" s="95"/>
      <c r="F25" s="95"/>
      <c r="G25" s="103">
        <v>4</v>
      </c>
      <c r="H25" s="104" t="s">
        <v>494</v>
      </c>
      <c r="I25" s="104" t="s">
        <v>441</v>
      </c>
      <c r="J25" s="105"/>
      <c r="K25" s="313"/>
      <c r="L25" s="354"/>
    </row>
    <row r="26" spans="2:12">
      <c r="B26" s="286"/>
      <c r="C26" s="286"/>
      <c r="D26" s="284"/>
      <c r="E26" s="95"/>
      <c r="F26" s="95"/>
      <c r="G26" s="103">
        <v>5</v>
      </c>
      <c r="H26" s="104" t="s">
        <v>444</v>
      </c>
      <c r="I26" s="104" t="s">
        <v>495</v>
      </c>
      <c r="J26" s="105"/>
      <c r="K26" s="313"/>
      <c r="L26" s="354"/>
    </row>
    <row r="27" spans="2:12">
      <c r="B27" s="283" t="s">
        <v>508</v>
      </c>
      <c r="C27" s="283" t="s">
        <v>523</v>
      </c>
      <c r="D27" s="283" t="s">
        <v>91</v>
      </c>
      <c r="E27" s="94"/>
      <c r="F27" s="94"/>
      <c r="G27" s="103">
        <v>1</v>
      </c>
      <c r="H27" s="104" t="s">
        <v>444</v>
      </c>
      <c r="I27" s="104" t="s">
        <v>492</v>
      </c>
      <c r="J27" s="105"/>
      <c r="K27" s="312" t="s">
        <v>633</v>
      </c>
      <c r="L27" s="355"/>
    </row>
    <row r="28" spans="2:12">
      <c r="B28" s="286"/>
      <c r="C28" s="286"/>
      <c r="D28" s="286"/>
      <c r="E28" s="95"/>
      <c r="F28" s="95"/>
      <c r="G28" s="103">
        <v>2</v>
      </c>
      <c r="H28" s="104" t="s">
        <v>493</v>
      </c>
      <c r="I28" s="104" t="s">
        <v>441</v>
      </c>
      <c r="J28" s="105"/>
      <c r="K28" s="313"/>
      <c r="L28" s="354"/>
    </row>
    <row r="29" spans="2:12">
      <c r="B29" s="286"/>
      <c r="C29" s="286"/>
      <c r="D29" s="286"/>
      <c r="E29" s="95"/>
      <c r="F29" s="95"/>
      <c r="G29" s="103">
        <v>3</v>
      </c>
      <c r="H29" s="104" t="s">
        <v>442</v>
      </c>
      <c r="I29" s="104" t="s">
        <v>441</v>
      </c>
      <c r="J29" s="105"/>
      <c r="K29" s="313"/>
      <c r="L29" s="354"/>
    </row>
    <row r="30" spans="2:12">
      <c r="B30" s="286"/>
      <c r="C30" s="286"/>
      <c r="D30" s="286"/>
      <c r="E30" s="95"/>
      <c r="F30" s="95"/>
      <c r="G30" s="103">
        <v>4</v>
      </c>
      <c r="H30" s="104" t="s">
        <v>494</v>
      </c>
      <c r="I30" s="104" t="s">
        <v>441</v>
      </c>
      <c r="J30" s="105"/>
      <c r="K30" s="313"/>
      <c r="L30" s="354"/>
    </row>
    <row r="31" spans="2:12" ht="10.5" customHeight="1">
      <c r="B31" s="286"/>
      <c r="C31" s="286"/>
      <c r="D31" s="284"/>
      <c r="E31" s="95"/>
      <c r="F31" s="95"/>
      <c r="G31" s="103">
        <v>5</v>
      </c>
      <c r="H31" s="104" t="s">
        <v>444</v>
      </c>
      <c r="I31" s="104" t="s">
        <v>495</v>
      </c>
      <c r="J31" s="105"/>
      <c r="K31" s="313"/>
      <c r="L31" s="354"/>
    </row>
    <row r="32" spans="2:12">
      <c r="B32" s="283" t="s">
        <v>508</v>
      </c>
      <c r="C32" s="283" t="s">
        <v>524</v>
      </c>
      <c r="D32" s="283" t="s">
        <v>91</v>
      </c>
      <c r="E32" s="94"/>
      <c r="F32" s="94"/>
      <c r="G32" s="103">
        <v>1</v>
      </c>
      <c r="H32" s="104" t="s">
        <v>444</v>
      </c>
      <c r="I32" s="104" t="s">
        <v>492</v>
      </c>
      <c r="J32" s="105"/>
      <c r="K32" s="312" t="s">
        <v>633</v>
      </c>
      <c r="L32" s="355"/>
    </row>
    <row r="33" spans="2:12">
      <c r="B33" s="286"/>
      <c r="C33" s="286"/>
      <c r="D33" s="286"/>
      <c r="E33" s="95"/>
      <c r="F33" s="95"/>
      <c r="G33" s="103">
        <v>2</v>
      </c>
      <c r="H33" s="104" t="s">
        <v>493</v>
      </c>
      <c r="I33" s="104" t="s">
        <v>441</v>
      </c>
      <c r="J33" s="105"/>
      <c r="K33" s="313"/>
      <c r="L33" s="354"/>
    </row>
    <row r="34" spans="2:12">
      <c r="B34" s="286"/>
      <c r="C34" s="286"/>
      <c r="D34" s="286"/>
      <c r="E34" s="95"/>
      <c r="F34" s="95"/>
      <c r="G34" s="103">
        <v>3</v>
      </c>
      <c r="H34" s="104" t="s">
        <v>442</v>
      </c>
      <c r="I34" s="104" t="s">
        <v>441</v>
      </c>
      <c r="J34" s="105"/>
      <c r="K34" s="313"/>
      <c r="L34" s="354"/>
    </row>
    <row r="35" spans="2:12">
      <c r="B35" s="286"/>
      <c r="C35" s="286"/>
      <c r="D35" s="286"/>
      <c r="E35" s="95"/>
      <c r="F35" s="95"/>
      <c r="G35" s="103">
        <v>4</v>
      </c>
      <c r="H35" s="104" t="s">
        <v>494</v>
      </c>
      <c r="I35" s="104" t="s">
        <v>441</v>
      </c>
      <c r="J35" s="105"/>
      <c r="K35" s="313"/>
      <c r="L35" s="354"/>
    </row>
    <row r="36" spans="2:12" ht="32.25" customHeight="1">
      <c r="B36" s="286"/>
      <c r="C36" s="286"/>
      <c r="D36" s="284"/>
      <c r="E36" s="95"/>
      <c r="F36" s="95"/>
      <c r="G36" s="103">
        <v>5</v>
      </c>
      <c r="H36" s="104" t="s">
        <v>444</v>
      </c>
      <c r="I36" s="104" t="s">
        <v>495</v>
      </c>
      <c r="J36" s="105"/>
      <c r="K36" s="313"/>
      <c r="L36" s="354"/>
    </row>
    <row r="37" spans="2:12">
      <c r="B37" s="283" t="s">
        <v>508</v>
      </c>
      <c r="C37" s="283" t="s">
        <v>525</v>
      </c>
      <c r="D37" s="283" t="s">
        <v>91</v>
      </c>
      <c r="E37" s="94"/>
      <c r="F37" s="94"/>
      <c r="G37" s="103">
        <v>1</v>
      </c>
      <c r="H37" s="104" t="s">
        <v>444</v>
      </c>
      <c r="I37" s="104" t="s">
        <v>492</v>
      </c>
      <c r="J37" s="105"/>
      <c r="K37" s="312" t="s">
        <v>633</v>
      </c>
      <c r="L37" s="355"/>
    </row>
    <row r="38" spans="2:12">
      <c r="B38" s="286"/>
      <c r="C38" s="286"/>
      <c r="D38" s="286"/>
      <c r="E38" s="95"/>
      <c r="F38" s="95"/>
      <c r="G38" s="103">
        <v>2</v>
      </c>
      <c r="H38" s="104" t="s">
        <v>493</v>
      </c>
      <c r="I38" s="104" t="s">
        <v>441</v>
      </c>
      <c r="J38" s="105"/>
      <c r="K38" s="313"/>
      <c r="L38" s="354"/>
    </row>
    <row r="39" spans="2:12">
      <c r="B39" s="286"/>
      <c r="C39" s="286"/>
      <c r="D39" s="286"/>
      <c r="E39" s="95"/>
      <c r="F39" s="95"/>
      <c r="G39" s="103">
        <v>3</v>
      </c>
      <c r="H39" s="104" t="s">
        <v>442</v>
      </c>
      <c r="I39" s="104" t="s">
        <v>441</v>
      </c>
      <c r="J39" s="105"/>
      <c r="K39" s="313"/>
      <c r="L39" s="354"/>
    </row>
    <row r="40" spans="2:12">
      <c r="B40" s="286"/>
      <c r="C40" s="286"/>
      <c r="D40" s="286"/>
      <c r="E40" s="95"/>
      <c r="F40" s="95"/>
      <c r="G40" s="103">
        <v>4</v>
      </c>
      <c r="H40" s="104" t="s">
        <v>494</v>
      </c>
      <c r="I40" s="104" t="s">
        <v>441</v>
      </c>
      <c r="J40" s="105"/>
      <c r="K40" s="313"/>
      <c r="L40" s="354"/>
    </row>
    <row r="41" spans="2:12" ht="32.25" customHeight="1">
      <c r="B41" s="286"/>
      <c r="C41" s="286"/>
      <c r="D41" s="284"/>
      <c r="E41" s="95"/>
      <c r="F41" s="95"/>
      <c r="G41" s="103">
        <v>5</v>
      </c>
      <c r="H41" s="104" t="s">
        <v>444</v>
      </c>
      <c r="I41" s="104" t="s">
        <v>495</v>
      </c>
      <c r="J41" s="105"/>
      <c r="K41" s="313"/>
      <c r="L41" s="354"/>
    </row>
    <row r="42" spans="2:12">
      <c r="B42" s="283" t="s">
        <v>508</v>
      </c>
      <c r="C42" s="283" t="s">
        <v>526</v>
      </c>
      <c r="D42" s="283" t="s">
        <v>91</v>
      </c>
      <c r="E42" s="94"/>
      <c r="F42" s="94"/>
      <c r="G42" s="103">
        <v>1</v>
      </c>
      <c r="H42" s="104" t="s">
        <v>444</v>
      </c>
      <c r="I42" s="104" t="s">
        <v>492</v>
      </c>
      <c r="J42" s="105"/>
      <c r="K42" s="312" t="s">
        <v>633</v>
      </c>
      <c r="L42" s="355"/>
    </row>
    <row r="43" spans="2:12">
      <c r="B43" s="286"/>
      <c r="C43" s="286"/>
      <c r="D43" s="286"/>
      <c r="E43" s="95"/>
      <c r="F43" s="95"/>
      <c r="G43" s="103">
        <v>2</v>
      </c>
      <c r="H43" s="104" t="s">
        <v>493</v>
      </c>
      <c r="I43" s="104" t="s">
        <v>441</v>
      </c>
      <c r="J43" s="105"/>
      <c r="K43" s="313"/>
      <c r="L43" s="354"/>
    </row>
    <row r="44" spans="2:12">
      <c r="B44" s="286"/>
      <c r="C44" s="286"/>
      <c r="D44" s="286"/>
      <c r="E44" s="95"/>
      <c r="F44" s="95"/>
      <c r="G44" s="103">
        <v>3</v>
      </c>
      <c r="H44" s="104" t="s">
        <v>442</v>
      </c>
      <c r="I44" s="104" t="s">
        <v>441</v>
      </c>
      <c r="J44" s="105"/>
      <c r="K44" s="313"/>
      <c r="L44" s="354"/>
    </row>
    <row r="45" spans="2:12">
      <c r="B45" s="286"/>
      <c r="C45" s="286"/>
      <c r="D45" s="286"/>
      <c r="E45" s="95"/>
      <c r="F45" s="95"/>
      <c r="G45" s="103">
        <v>4</v>
      </c>
      <c r="H45" s="104" t="s">
        <v>494</v>
      </c>
      <c r="I45" s="104" t="s">
        <v>441</v>
      </c>
      <c r="J45" s="105"/>
      <c r="K45" s="313"/>
      <c r="L45" s="354"/>
    </row>
    <row r="46" spans="2:12">
      <c r="B46" s="286"/>
      <c r="C46" s="286"/>
      <c r="D46" s="284"/>
      <c r="E46" s="95"/>
      <c r="F46" s="95"/>
      <c r="G46" s="103">
        <v>5</v>
      </c>
      <c r="H46" s="104" t="s">
        <v>444</v>
      </c>
      <c r="I46" s="104" t="s">
        <v>495</v>
      </c>
      <c r="J46" s="105"/>
      <c r="K46" s="313"/>
      <c r="L46" s="354"/>
    </row>
    <row r="47" spans="2:12"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</row>
    <row r="48" spans="2:12">
      <c r="K48" s="4"/>
    </row>
    <row r="49" spans="11:11">
      <c r="K49" s="4"/>
    </row>
    <row r="50" spans="11:11">
      <c r="K50" s="4"/>
    </row>
    <row r="51" spans="11:11">
      <c r="K51" s="4"/>
    </row>
    <row r="52" spans="11:11">
      <c r="K52" s="4"/>
    </row>
  </sheetData>
  <mergeCells count="52">
    <mergeCell ref="K13:K16"/>
    <mergeCell ref="L13:L16"/>
    <mergeCell ref="B13:B16"/>
    <mergeCell ref="C13:C16"/>
    <mergeCell ref="D13:D16"/>
    <mergeCell ref="E13:E16"/>
    <mergeCell ref="F13:F16"/>
    <mergeCell ref="K17:K20"/>
    <mergeCell ref="L17:L20"/>
    <mergeCell ref="B37:B41"/>
    <mergeCell ref="C37:C41"/>
    <mergeCell ref="D37:D41"/>
    <mergeCell ref="K37:K41"/>
    <mergeCell ref="L37:L41"/>
    <mergeCell ref="B17:B20"/>
    <mergeCell ref="C17:C20"/>
    <mergeCell ref="D17:D20"/>
    <mergeCell ref="E17:E20"/>
    <mergeCell ref="F17:F20"/>
    <mergeCell ref="D42:D46"/>
    <mergeCell ref="K42:K46"/>
    <mergeCell ref="L42:L46"/>
    <mergeCell ref="L32:L36"/>
    <mergeCell ref="B42:B46"/>
    <mergeCell ref="C42:C46"/>
    <mergeCell ref="B2:B3"/>
    <mergeCell ref="G6:H6"/>
    <mergeCell ref="B7:L7"/>
    <mergeCell ref="B8:L8"/>
    <mergeCell ref="C9:C12"/>
    <mergeCell ref="D9:D12"/>
    <mergeCell ref="E9:E12"/>
    <mergeCell ref="F9:F12"/>
    <mergeCell ref="B9:B12"/>
    <mergeCell ref="K9:K12"/>
    <mergeCell ref="L9:L12"/>
    <mergeCell ref="B47:L47"/>
    <mergeCell ref="B21:L21"/>
    <mergeCell ref="B22:B26"/>
    <mergeCell ref="C22:C26"/>
    <mergeCell ref="D22:D26"/>
    <mergeCell ref="K22:K26"/>
    <mergeCell ref="L22:L26"/>
    <mergeCell ref="B27:B31"/>
    <mergeCell ref="C27:C31"/>
    <mergeCell ref="D27:D31"/>
    <mergeCell ref="K27:K31"/>
    <mergeCell ref="L27:L31"/>
    <mergeCell ref="B32:B36"/>
    <mergeCell ref="C32:C36"/>
    <mergeCell ref="D32:D36"/>
    <mergeCell ref="K32:K36"/>
  </mergeCells>
  <conditionalFormatting sqref="K9">
    <cfRule type="cellIs" dxfId="120" priority="64" operator="equal">
      <formula>"."</formula>
    </cfRule>
    <cfRule type="cellIs" dxfId="119" priority="65" operator="equal">
      <formula>1</formula>
    </cfRule>
    <cfRule type="cellIs" dxfId="118" priority="66" operator="equal">
      <formula>0</formula>
    </cfRule>
  </conditionalFormatting>
  <conditionalFormatting sqref="K13">
    <cfRule type="cellIs" dxfId="117" priority="1" operator="equal">
      <formula>"."</formula>
    </cfRule>
    <cfRule type="cellIs" dxfId="116" priority="2" operator="equal">
      <formula>1</formula>
    </cfRule>
    <cfRule type="cellIs" dxfId="115" priority="3" operator="equal">
      <formula>0</formula>
    </cfRule>
  </conditionalFormatting>
  <conditionalFormatting sqref="K17">
    <cfRule type="cellIs" dxfId="114" priority="7" operator="equal">
      <formula>"."</formula>
    </cfRule>
    <cfRule type="cellIs" dxfId="113" priority="8" operator="equal">
      <formula>1</formula>
    </cfRule>
    <cfRule type="cellIs" dxfId="112" priority="9" operator="equal">
      <formula>0</formula>
    </cfRule>
  </conditionalFormatting>
  <conditionalFormatting sqref="K21:K22">
    <cfRule type="cellIs" dxfId="111" priority="52" operator="equal">
      <formula>"."</formula>
    </cfRule>
    <cfRule type="cellIs" dxfId="110" priority="53" operator="equal">
      <formula>1</formula>
    </cfRule>
    <cfRule type="cellIs" dxfId="109" priority="54" operator="equal">
      <formula>0</formula>
    </cfRule>
  </conditionalFormatting>
  <conditionalFormatting sqref="K27 K32 K42">
    <cfRule type="cellIs" dxfId="108" priority="10" operator="equal">
      <formula>"."</formula>
    </cfRule>
    <cfRule type="cellIs" dxfId="107" priority="11" operator="equal">
      <formula>1</formula>
    </cfRule>
    <cfRule type="cellIs" dxfId="106" priority="12" operator="equal">
      <formula>0</formula>
    </cfRule>
  </conditionalFormatting>
  <conditionalFormatting sqref="K37">
    <cfRule type="cellIs" dxfId="105" priority="4" operator="equal">
      <formula>"."</formula>
    </cfRule>
    <cfRule type="cellIs" dxfId="104" priority="5" operator="equal">
      <formula>1</formula>
    </cfRule>
    <cfRule type="cellIs" dxfId="103" priority="6" operator="equal">
      <formula>0</formula>
    </cfRule>
  </conditionalFormatting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75A1-3824-40D1-BFE7-9F6343350576}">
  <dimension ref="B1:R53"/>
  <sheetViews>
    <sheetView topLeftCell="A40" zoomScale="70" zoomScaleNormal="70" workbookViewId="0">
      <selection activeCell="L18" sqref="L18:L27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2.1796875" style="33" bestFit="1" customWidth="1"/>
    <col min="4" max="4" width="11.81640625" style="33" customWidth="1"/>
    <col min="5" max="5" width="32" style="33" customWidth="1"/>
    <col min="6" max="6" width="27.7265625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 bestFit="1"/>
    <col min="16" max="16" width="11.7265625" style="4" bestFit="1" customWidth="1"/>
    <col min="17" max="17" width="23.54296875" style="4" customWidth="1"/>
    <col min="18" max="16384" width="9.1796875" style="4"/>
  </cols>
  <sheetData>
    <row r="1" spans="2:18">
      <c r="O1" s="5"/>
    </row>
    <row r="2" spans="2:18" ht="21.75" customHeight="1">
      <c r="B2" s="276">
        <f>SUM(O3:O5)/O7</f>
        <v>0</v>
      </c>
      <c r="C2" s="47"/>
      <c r="D2" s="47"/>
      <c r="E2" s="47"/>
      <c r="F2" s="47"/>
      <c r="G2" s="60"/>
      <c r="H2" s="24" t="s">
        <v>40</v>
      </c>
      <c r="I2" s="63" t="e">
        <f>[2]Cover!B3</f>
        <v>#REF!</v>
      </c>
      <c r="J2" s="37"/>
      <c r="K2" s="16"/>
      <c r="L2" s="15"/>
      <c r="N2" s="56" t="s">
        <v>41</v>
      </c>
      <c r="O2" s="55">
        <f>SUM(O3:O5)/O7</f>
        <v>0</v>
      </c>
      <c r="Q2" s="84" t="s">
        <v>42</v>
      </c>
    </row>
    <row r="3" spans="2:18" ht="23.5">
      <c r="B3" s="277"/>
      <c r="C3" s="48"/>
      <c r="D3" s="48"/>
      <c r="E3" s="48"/>
      <c r="F3" s="48"/>
      <c r="G3" s="61"/>
      <c r="H3" s="23" t="s">
        <v>43</v>
      </c>
      <c r="I3" s="59" t="e">
        <f>[2]Cover!B11</f>
        <v>#REF!</v>
      </c>
      <c r="J3" s="38"/>
      <c r="K3" s="12"/>
      <c r="L3" s="13"/>
      <c r="N3" s="57" t="s">
        <v>44</v>
      </c>
      <c r="O3" s="58">
        <f>COUNTIF(K7:K48,1)</f>
        <v>0</v>
      </c>
      <c r="Q3" s="84" t="s">
        <v>45</v>
      </c>
      <c r="R3" s="85">
        <f>COUNTIF(D8:D27,"Positive")</f>
        <v>2</v>
      </c>
    </row>
    <row r="4" spans="2:18">
      <c r="B4" s="30" t="s">
        <v>46</v>
      </c>
      <c r="C4" s="49"/>
      <c r="D4" s="49"/>
      <c r="E4" s="49"/>
      <c r="F4" s="49"/>
      <c r="G4" s="62"/>
      <c r="H4" s="23" t="s">
        <v>47</v>
      </c>
      <c r="I4" s="50" t="s">
        <v>48</v>
      </c>
      <c r="J4" s="38"/>
      <c r="K4" s="12"/>
      <c r="L4" s="13"/>
      <c r="M4" s="22"/>
      <c r="N4" s="17" t="s">
        <v>49</v>
      </c>
      <c r="O4" s="18">
        <f>COUNTIF(K7:K48,0)</f>
        <v>0</v>
      </c>
      <c r="P4" s="5"/>
      <c r="Q4" s="84" t="s">
        <v>50</v>
      </c>
      <c r="R4" s="85">
        <f>COUNTIF(D9:D27,"Negative")</f>
        <v>0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COUNTIF(K9:K50,"Block")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60</v>
      </c>
      <c r="N6" s="19" t="s">
        <v>61</v>
      </c>
      <c r="O6" s="20">
        <f>COUNTIF(K7:K48,".")</f>
        <v>1</v>
      </c>
    </row>
    <row r="7" spans="2:18">
      <c r="B7" s="280" t="s">
        <v>62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N7" s="21" t="s">
        <v>63</v>
      </c>
      <c r="O7" s="21">
        <f>SUM(O3:O6)</f>
        <v>1</v>
      </c>
    </row>
    <row r="8" spans="2:18" ht="15" customHeight="1">
      <c r="B8" s="300" t="s">
        <v>263</v>
      </c>
      <c r="C8" s="315" t="s">
        <v>527</v>
      </c>
      <c r="D8" s="365" t="s">
        <v>66</v>
      </c>
      <c r="E8" s="330"/>
      <c r="F8" s="330"/>
      <c r="G8" s="125" t="s">
        <v>69</v>
      </c>
      <c r="H8" s="174" t="s">
        <v>288</v>
      </c>
      <c r="I8" s="69" t="s">
        <v>266</v>
      </c>
      <c r="J8" s="136"/>
      <c r="K8" s="288"/>
      <c r="L8" s="367" t="s">
        <v>528</v>
      </c>
    </row>
    <row r="9" spans="2:18">
      <c r="B9" s="300"/>
      <c r="C9" s="315"/>
      <c r="D9" s="366"/>
      <c r="E9" s="330"/>
      <c r="F9" s="330"/>
      <c r="G9" s="125" t="s">
        <v>72</v>
      </c>
      <c r="H9" s="174" t="s">
        <v>290</v>
      </c>
      <c r="I9" s="69" t="s">
        <v>268</v>
      </c>
      <c r="J9" s="136"/>
      <c r="K9" s="289"/>
      <c r="L9" s="368"/>
    </row>
    <row r="10" spans="2:18">
      <c r="B10" s="300"/>
      <c r="C10" s="315"/>
      <c r="D10" s="366"/>
      <c r="E10" s="330"/>
      <c r="F10" s="330"/>
      <c r="G10" s="125" t="s">
        <v>84</v>
      </c>
      <c r="H10" s="174" t="s">
        <v>292</v>
      </c>
      <c r="I10" s="69" t="s">
        <v>270</v>
      </c>
      <c r="J10" s="136"/>
      <c r="K10" s="289"/>
      <c r="L10" s="368"/>
    </row>
    <row r="11" spans="2:18" ht="30" customHeight="1">
      <c r="B11" s="300"/>
      <c r="C11" s="315"/>
      <c r="D11" s="366"/>
      <c r="E11" s="330"/>
      <c r="F11" s="330"/>
      <c r="G11" s="125" t="s">
        <v>75</v>
      </c>
      <c r="H11" s="174" t="s">
        <v>293</v>
      </c>
      <c r="I11" s="69" t="s">
        <v>294</v>
      </c>
      <c r="J11" s="136"/>
      <c r="K11" s="289"/>
      <c r="L11" s="368"/>
    </row>
    <row r="12" spans="2:18" ht="30" customHeight="1">
      <c r="B12" s="300"/>
      <c r="C12" s="315"/>
      <c r="D12" s="366"/>
      <c r="E12" s="330"/>
      <c r="F12" s="330"/>
      <c r="G12" s="125" t="s">
        <v>295</v>
      </c>
      <c r="H12" s="174" t="s">
        <v>296</v>
      </c>
      <c r="I12" s="69" t="s">
        <v>297</v>
      </c>
      <c r="J12" s="136"/>
      <c r="K12" s="289"/>
      <c r="L12" s="368"/>
    </row>
    <row r="13" spans="2:18" ht="30" customHeight="1">
      <c r="B13" s="300"/>
      <c r="C13" s="315"/>
      <c r="D13" s="366"/>
      <c r="E13" s="330"/>
      <c r="F13" s="330"/>
      <c r="G13" s="125" t="s">
        <v>298</v>
      </c>
      <c r="H13" s="174" t="s">
        <v>299</v>
      </c>
      <c r="I13" s="69" t="s">
        <v>300</v>
      </c>
      <c r="J13" s="136"/>
      <c r="K13" s="289"/>
      <c r="L13" s="368"/>
    </row>
    <row r="14" spans="2:18" ht="30" customHeight="1">
      <c r="B14" s="300"/>
      <c r="C14" s="315"/>
      <c r="D14" s="366"/>
      <c r="E14" s="330"/>
      <c r="F14" s="330"/>
      <c r="G14" s="125" t="s">
        <v>301</v>
      </c>
      <c r="H14" s="174" t="s">
        <v>302</v>
      </c>
      <c r="I14" s="69" t="s">
        <v>303</v>
      </c>
      <c r="J14" s="136"/>
      <c r="K14" s="289"/>
      <c r="L14" s="368"/>
    </row>
    <row r="15" spans="2:18">
      <c r="B15" s="300"/>
      <c r="C15" s="315"/>
      <c r="D15" s="366"/>
      <c r="E15" s="330"/>
      <c r="F15" s="330"/>
      <c r="G15" s="125" t="s">
        <v>304</v>
      </c>
      <c r="H15" s="174" t="s">
        <v>305</v>
      </c>
      <c r="I15" s="69"/>
      <c r="J15" s="136"/>
      <c r="K15" s="289"/>
      <c r="L15" s="368"/>
    </row>
    <row r="16" spans="2:18">
      <c r="B16" s="300"/>
      <c r="C16" s="315"/>
      <c r="D16" s="366"/>
      <c r="E16" s="330"/>
      <c r="F16" s="330"/>
      <c r="G16" s="125" t="s">
        <v>306</v>
      </c>
      <c r="H16" s="174" t="s">
        <v>307</v>
      </c>
      <c r="I16" s="69"/>
      <c r="J16" s="136"/>
      <c r="K16" s="289"/>
      <c r="L16" s="368"/>
    </row>
    <row r="17" spans="2:12">
      <c r="B17" s="300"/>
      <c r="C17" s="364"/>
      <c r="D17" s="366"/>
      <c r="E17" s="330"/>
      <c r="F17" s="330"/>
      <c r="G17" s="125" t="s">
        <v>308</v>
      </c>
      <c r="H17" s="174" t="s">
        <v>299</v>
      </c>
      <c r="I17" s="69"/>
      <c r="J17" s="136"/>
      <c r="K17" s="290"/>
      <c r="L17" s="369"/>
    </row>
    <row r="18" spans="2:12" ht="15" customHeight="1">
      <c r="B18" s="356" t="s">
        <v>368</v>
      </c>
      <c r="C18" s="358" t="s">
        <v>529</v>
      </c>
      <c r="D18" s="358" t="s">
        <v>66</v>
      </c>
      <c r="E18" s="358"/>
      <c r="F18" s="178"/>
      <c r="G18" s="66" t="s">
        <v>69</v>
      </c>
      <c r="H18" s="179" t="s">
        <v>288</v>
      </c>
      <c r="I18" s="146" t="s">
        <v>266</v>
      </c>
      <c r="J18" s="86"/>
      <c r="K18" s="360" t="s">
        <v>633</v>
      </c>
      <c r="L18" s="308"/>
    </row>
    <row r="19" spans="2:12">
      <c r="B19" s="357"/>
      <c r="C19" s="359"/>
      <c r="D19" s="359"/>
      <c r="E19" s="359"/>
      <c r="F19" s="166"/>
      <c r="G19" s="66" t="s">
        <v>72</v>
      </c>
      <c r="H19" s="174" t="s">
        <v>290</v>
      </c>
      <c r="I19" s="116" t="s">
        <v>268</v>
      </c>
      <c r="J19" s="86"/>
      <c r="K19" s="361"/>
      <c r="L19" s="309"/>
    </row>
    <row r="20" spans="2:12">
      <c r="B20" s="357"/>
      <c r="C20" s="359"/>
      <c r="D20" s="359"/>
      <c r="E20" s="359"/>
      <c r="F20" s="166"/>
      <c r="G20" s="66" t="s">
        <v>84</v>
      </c>
      <c r="H20" s="174" t="s">
        <v>292</v>
      </c>
      <c r="I20" s="116" t="s">
        <v>270</v>
      </c>
      <c r="J20" s="86"/>
      <c r="K20" s="361"/>
      <c r="L20" s="309"/>
    </row>
    <row r="21" spans="2:12" ht="33" customHeight="1">
      <c r="B21" s="357"/>
      <c r="C21" s="359"/>
      <c r="D21" s="359"/>
      <c r="E21" s="359"/>
      <c r="F21" s="362"/>
      <c r="G21" s="66" t="s">
        <v>75</v>
      </c>
      <c r="H21" s="175" t="s">
        <v>293</v>
      </c>
      <c r="I21" s="118" t="s">
        <v>294</v>
      </c>
      <c r="J21" s="86"/>
      <c r="K21" s="361"/>
      <c r="L21" s="309"/>
    </row>
    <row r="22" spans="2:12" ht="15" customHeight="1">
      <c r="B22" s="357"/>
      <c r="C22" s="359"/>
      <c r="D22" s="359"/>
      <c r="E22" s="359"/>
      <c r="F22" s="363"/>
      <c r="G22" s="66" t="s">
        <v>295</v>
      </c>
      <c r="H22" s="176" t="s">
        <v>296</v>
      </c>
      <c r="I22" s="115" t="s">
        <v>297</v>
      </c>
      <c r="J22" s="86"/>
      <c r="K22" s="361"/>
      <c r="L22" s="309"/>
    </row>
    <row r="23" spans="2:12" ht="15" customHeight="1">
      <c r="B23" s="357"/>
      <c r="C23" s="359"/>
      <c r="D23" s="359"/>
      <c r="E23" s="359"/>
      <c r="F23" s="363"/>
      <c r="G23" s="66" t="s">
        <v>298</v>
      </c>
      <c r="H23" s="176" t="s">
        <v>299</v>
      </c>
      <c r="I23" s="115" t="s">
        <v>300</v>
      </c>
      <c r="J23" s="86"/>
      <c r="K23" s="361"/>
      <c r="L23" s="309"/>
    </row>
    <row r="24" spans="2:12" ht="15" customHeight="1">
      <c r="B24" s="357"/>
      <c r="C24" s="359"/>
      <c r="D24" s="359"/>
      <c r="E24" s="359"/>
      <c r="F24" s="363"/>
      <c r="G24" s="66" t="s">
        <v>301</v>
      </c>
      <c r="H24" s="176" t="s">
        <v>302</v>
      </c>
      <c r="I24" s="115" t="s">
        <v>303</v>
      </c>
      <c r="J24" s="86"/>
      <c r="K24" s="361"/>
      <c r="L24" s="309"/>
    </row>
    <row r="25" spans="2:12">
      <c r="B25" s="357"/>
      <c r="C25" s="359"/>
      <c r="D25" s="359"/>
      <c r="E25" s="359"/>
      <c r="F25" s="363"/>
      <c r="G25" s="100" t="s">
        <v>304</v>
      </c>
      <c r="H25" s="177" t="s">
        <v>305</v>
      </c>
      <c r="I25" s="138"/>
      <c r="J25" s="119"/>
      <c r="K25" s="361"/>
      <c r="L25" s="309"/>
    </row>
    <row r="26" spans="2:12">
      <c r="B26" s="357"/>
      <c r="C26" s="359"/>
      <c r="D26" s="359"/>
      <c r="E26" s="359"/>
      <c r="F26" s="363"/>
      <c r="G26" s="97" t="s">
        <v>306</v>
      </c>
      <c r="H26" s="176" t="s">
        <v>307</v>
      </c>
      <c r="I26" s="161"/>
      <c r="J26" s="162"/>
      <c r="K26" s="361"/>
      <c r="L26" s="309"/>
    </row>
    <row r="27" spans="2:12">
      <c r="B27" s="357"/>
      <c r="C27" s="359"/>
      <c r="D27" s="359"/>
      <c r="E27" s="359"/>
      <c r="F27" s="363"/>
      <c r="G27" s="185" t="s">
        <v>308</v>
      </c>
      <c r="H27" s="177" t="s">
        <v>299</v>
      </c>
      <c r="I27" s="191"/>
      <c r="J27" s="192"/>
      <c r="K27" s="361"/>
      <c r="L27" s="309"/>
    </row>
    <row r="28" spans="2:12">
      <c r="B28" s="268" t="s">
        <v>368</v>
      </c>
      <c r="C28" s="330" t="s">
        <v>530</v>
      </c>
      <c r="D28" s="330" t="s">
        <v>66</v>
      </c>
      <c r="E28" s="330"/>
      <c r="F28" s="166"/>
      <c r="G28" s="125" t="s">
        <v>69</v>
      </c>
      <c r="H28" s="174" t="s">
        <v>288</v>
      </c>
      <c r="I28" s="69" t="s">
        <v>266</v>
      </c>
      <c r="J28" s="86"/>
      <c r="K28" s="281"/>
      <c r="L28" s="265"/>
    </row>
    <row r="29" spans="2:12">
      <c r="B29" s="268"/>
      <c r="C29" s="330"/>
      <c r="D29" s="330"/>
      <c r="E29" s="330"/>
      <c r="F29" s="166"/>
      <c r="G29" s="125" t="s">
        <v>72</v>
      </c>
      <c r="H29" s="174" t="s">
        <v>290</v>
      </c>
      <c r="I29" s="69" t="s">
        <v>268</v>
      </c>
      <c r="J29" s="86"/>
      <c r="K29" s="281"/>
      <c r="L29" s="265"/>
    </row>
    <row r="30" spans="2:12">
      <c r="B30" s="268"/>
      <c r="C30" s="330"/>
      <c r="D30" s="330"/>
      <c r="E30" s="330"/>
      <c r="F30" s="166"/>
      <c r="G30" s="125" t="s">
        <v>84</v>
      </c>
      <c r="H30" s="174" t="s">
        <v>292</v>
      </c>
      <c r="I30" s="69" t="s">
        <v>270</v>
      </c>
      <c r="J30" s="86"/>
      <c r="K30" s="281"/>
      <c r="L30" s="265"/>
    </row>
    <row r="31" spans="2:12" ht="29">
      <c r="B31" s="268"/>
      <c r="C31" s="330"/>
      <c r="D31" s="330"/>
      <c r="E31" s="330"/>
      <c r="F31" s="330"/>
      <c r="G31" s="125" t="s">
        <v>75</v>
      </c>
      <c r="H31" s="174" t="s">
        <v>293</v>
      </c>
      <c r="I31" s="69" t="s">
        <v>294</v>
      </c>
      <c r="J31" s="86"/>
      <c r="K31" s="281"/>
      <c r="L31" s="265"/>
    </row>
    <row r="32" spans="2:12" ht="29">
      <c r="B32" s="268"/>
      <c r="C32" s="330"/>
      <c r="D32" s="330"/>
      <c r="E32" s="330"/>
      <c r="F32" s="330"/>
      <c r="G32" s="125" t="s">
        <v>295</v>
      </c>
      <c r="H32" s="174" t="s">
        <v>296</v>
      </c>
      <c r="I32" s="69" t="s">
        <v>297</v>
      </c>
      <c r="J32" s="86"/>
      <c r="K32" s="281"/>
      <c r="L32" s="265"/>
    </row>
    <row r="33" spans="2:12" ht="29">
      <c r="B33" s="268"/>
      <c r="C33" s="330"/>
      <c r="D33" s="330"/>
      <c r="E33" s="330"/>
      <c r="F33" s="330"/>
      <c r="G33" s="125" t="s">
        <v>298</v>
      </c>
      <c r="H33" s="174" t="s">
        <v>299</v>
      </c>
      <c r="I33" s="69" t="s">
        <v>300</v>
      </c>
      <c r="J33" s="86"/>
      <c r="K33" s="281"/>
      <c r="L33" s="265"/>
    </row>
    <row r="34" spans="2:12" ht="29">
      <c r="B34" s="268"/>
      <c r="C34" s="330"/>
      <c r="D34" s="330"/>
      <c r="E34" s="330"/>
      <c r="F34" s="330"/>
      <c r="G34" s="125" t="s">
        <v>301</v>
      </c>
      <c r="H34" s="174" t="s">
        <v>302</v>
      </c>
      <c r="I34" s="69" t="s">
        <v>303</v>
      </c>
      <c r="J34" s="86"/>
      <c r="K34" s="281"/>
      <c r="L34" s="265"/>
    </row>
    <row r="35" spans="2:12">
      <c r="B35" s="268"/>
      <c r="C35" s="330"/>
      <c r="D35" s="330"/>
      <c r="E35" s="330"/>
      <c r="F35" s="330"/>
      <c r="G35" s="125" t="s">
        <v>304</v>
      </c>
      <c r="H35" s="174" t="s">
        <v>305</v>
      </c>
      <c r="I35" s="69"/>
      <c r="J35" s="86"/>
      <c r="K35" s="281"/>
      <c r="L35" s="265"/>
    </row>
    <row r="36" spans="2:12">
      <c r="B36" s="268"/>
      <c r="C36" s="330"/>
      <c r="D36" s="330"/>
      <c r="E36" s="330"/>
      <c r="F36" s="330"/>
      <c r="G36" s="125" t="s">
        <v>306</v>
      </c>
      <c r="H36" s="174" t="s">
        <v>307</v>
      </c>
      <c r="I36" s="69"/>
      <c r="J36" s="86"/>
      <c r="K36" s="281"/>
      <c r="L36" s="265"/>
    </row>
    <row r="37" spans="2:12">
      <c r="B37" s="268"/>
      <c r="C37" s="330"/>
      <c r="D37" s="330"/>
      <c r="E37" s="330"/>
      <c r="F37" s="330"/>
      <c r="G37" s="125" t="s">
        <v>308</v>
      </c>
      <c r="H37" s="174" t="s">
        <v>299</v>
      </c>
      <c r="I37" s="69"/>
      <c r="J37" s="86"/>
      <c r="K37" s="281"/>
      <c r="L37" s="265"/>
    </row>
    <row r="38" spans="2:12">
      <c r="B38" s="268" t="s">
        <v>368</v>
      </c>
      <c r="C38" s="330" t="s">
        <v>531</v>
      </c>
      <c r="D38" s="330" t="s">
        <v>66</v>
      </c>
      <c r="E38" s="330"/>
      <c r="F38" s="166"/>
      <c r="G38" s="125" t="s">
        <v>69</v>
      </c>
      <c r="H38" s="174" t="s">
        <v>288</v>
      </c>
      <c r="I38" s="69" t="s">
        <v>266</v>
      </c>
      <c r="J38" s="86"/>
      <c r="K38" s="281"/>
      <c r="L38" s="265"/>
    </row>
    <row r="39" spans="2:12">
      <c r="B39" s="268"/>
      <c r="C39" s="330"/>
      <c r="D39" s="330"/>
      <c r="E39" s="330"/>
      <c r="F39" s="166"/>
      <c r="G39" s="125" t="s">
        <v>72</v>
      </c>
      <c r="H39" s="174" t="s">
        <v>290</v>
      </c>
      <c r="I39" s="69" t="s">
        <v>268</v>
      </c>
      <c r="J39" s="86"/>
      <c r="K39" s="281"/>
      <c r="L39" s="265"/>
    </row>
    <row r="40" spans="2:12">
      <c r="B40" s="268"/>
      <c r="C40" s="330"/>
      <c r="D40" s="330"/>
      <c r="E40" s="330"/>
      <c r="F40" s="166"/>
      <c r="G40" s="125" t="s">
        <v>84</v>
      </c>
      <c r="H40" s="174" t="s">
        <v>292</v>
      </c>
      <c r="I40" s="69" t="s">
        <v>270</v>
      </c>
      <c r="J40" s="86"/>
      <c r="K40" s="281"/>
      <c r="L40" s="265"/>
    </row>
    <row r="41" spans="2:12" ht="29">
      <c r="B41" s="268"/>
      <c r="C41" s="330"/>
      <c r="D41" s="330"/>
      <c r="E41" s="330"/>
      <c r="F41" s="330"/>
      <c r="G41" s="125" t="s">
        <v>75</v>
      </c>
      <c r="H41" s="174" t="s">
        <v>293</v>
      </c>
      <c r="I41" s="69" t="s">
        <v>294</v>
      </c>
      <c r="J41" s="86"/>
      <c r="K41" s="281"/>
      <c r="L41" s="265"/>
    </row>
    <row r="42" spans="2:12" ht="29">
      <c r="B42" s="268"/>
      <c r="C42" s="330"/>
      <c r="D42" s="330"/>
      <c r="E42" s="330"/>
      <c r="F42" s="330"/>
      <c r="G42" s="125" t="s">
        <v>295</v>
      </c>
      <c r="H42" s="174" t="s">
        <v>296</v>
      </c>
      <c r="I42" s="69" t="s">
        <v>297</v>
      </c>
      <c r="J42" s="86"/>
      <c r="K42" s="281"/>
      <c r="L42" s="265"/>
    </row>
    <row r="43" spans="2:12" ht="29">
      <c r="B43" s="268"/>
      <c r="C43" s="330"/>
      <c r="D43" s="330"/>
      <c r="E43" s="330"/>
      <c r="F43" s="330"/>
      <c r="G43" s="125" t="s">
        <v>298</v>
      </c>
      <c r="H43" s="174" t="s">
        <v>299</v>
      </c>
      <c r="I43" s="69" t="s">
        <v>300</v>
      </c>
      <c r="J43" s="86"/>
      <c r="K43" s="281"/>
      <c r="L43" s="265"/>
    </row>
    <row r="44" spans="2:12" ht="29">
      <c r="B44" s="268"/>
      <c r="C44" s="330"/>
      <c r="D44" s="330"/>
      <c r="E44" s="330"/>
      <c r="F44" s="330"/>
      <c r="G44" s="125" t="s">
        <v>301</v>
      </c>
      <c r="H44" s="174" t="s">
        <v>302</v>
      </c>
      <c r="I44" s="69" t="s">
        <v>303</v>
      </c>
      <c r="J44" s="86"/>
      <c r="K44" s="281"/>
      <c r="L44" s="265"/>
    </row>
    <row r="45" spans="2:12">
      <c r="B45" s="268"/>
      <c r="C45" s="330"/>
      <c r="D45" s="330"/>
      <c r="E45" s="330"/>
      <c r="F45" s="330"/>
      <c r="G45" s="125" t="s">
        <v>304</v>
      </c>
      <c r="H45" s="174" t="s">
        <v>305</v>
      </c>
      <c r="I45" s="69"/>
      <c r="J45" s="86"/>
      <c r="K45" s="281"/>
      <c r="L45" s="265"/>
    </row>
    <row r="46" spans="2:12">
      <c r="B46" s="268"/>
      <c r="C46" s="330"/>
      <c r="D46" s="330"/>
      <c r="E46" s="330"/>
      <c r="F46" s="330"/>
      <c r="G46" s="125" t="s">
        <v>306</v>
      </c>
      <c r="H46" s="174" t="s">
        <v>307</v>
      </c>
      <c r="I46" s="69"/>
      <c r="J46" s="86"/>
      <c r="K46" s="281"/>
      <c r="L46" s="265"/>
    </row>
    <row r="47" spans="2:12">
      <c r="B47" s="268"/>
      <c r="C47" s="330"/>
      <c r="D47" s="330"/>
      <c r="E47" s="330"/>
      <c r="F47" s="330"/>
      <c r="G47" s="125" t="s">
        <v>308</v>
      </c>
      <c r="H47" s="174" t="s">
        <v>299</v>
      </c>
      <c r="I47" s="69"/>
      <c r="J47" s="86"/>
      <c r="K47" s="281"/>
      <c r="L47" s="265"/>
    </row>
    <row r="48" spans="2:12">
      <c r="B48" s="305"/>
      <c r="C48" s="306"/>
      <c r="D48" s="306"/>
      <c r="E48" s="306"/>
      <c r="F48" s="306"/>
      <c r="G48" s="306"/>
      <c r="H48" s="306"/>
      <c r="I48" s="306"/>
      <c r="J48" s="306"/>
      <c r="K48" s="306"/>
      <c r="L48" s="307"/>
    </row>
    <row r="49" spans="11:11">
      <c r="K49" s="4"/>
    </row>
    <row r="50" spans="11:11">
      <c r="K50" s="4"/>
    </row>
    <row r="51" spans="11:11">
      <c r="K51" s="4"/>
    </row>
    <row r="52" spans="11:11">
      <c r="K52" s="4"/>
    </row>
    <row r="53" spans="11:11">
      <c r="K53" s="4"/>
    </row>
  </sheetData>
  <mergeCells count="32">
    <mergeCell ref="B2:B3"/>
    <mergeCell ref="G6:H6"/>
    <mergeCell ref="B7:L7"/>
    <mergeCell ref="B8:B17"/>
    <mergeCell ref="C8:C17"/>
    <mergeCell ref="D8:D17"/>
    <mergeCell ref="E8:E17"/>
    <mergeCell ref="F8:F17"/>
    <mergeCell ref="K8:K17"/>
    <mergeCell ref="L8:L17"/>
    <mergeCell ref="B48:L48"/>
    <mergeCell ref="B18:B27"/>
    <mergeCell ref="C18:C27"/>
    <mergeCell ref="D18:D27"/>
    <mergeCell ref="E18:E27"/>
    <mergeCell ref="K18:K27"/>
    <mergeCell ref="L18:L27"/>
    <mergeCell ref="F21:F27"/>
    <mergeCell ref="B28:B37"/>
    <mergeCell ref="C28:C37"/>
    <mergeCell ref="D28:D37"/>
    <mergeCell ref="E28:E37"/>
    <mergeCell ref="K28:K37"/>
    <mergeCell ref="L28:L37"/>
    <mergeCell ref="F31:F37"/>
    <mergeCell ref="B38:B47"/>
    <mergeCell ref="C38:C47"/>
    <mergeCell ref="D38:D47"/>
    <mergeCell ref="E38:E47"/>
    <mergeCell ref="K38:K47"/>
    <mergeCell ref="L38:L47"/>
    <mergeCell ref="F41:F47"/>
  </mergeCells>
  <conditionalFormatting sqref="K8">
    <cfRule type="cellIs" dxfId="102" priority="73" operator="equal">
      <formula>"Block"</formula>
    </cfRule>
    <cfRule type="cellIs" dxfId="101" priority="74" operator="equal">
      <formula>"."</formula>
    </cfRule>
    <cfRule type="cellIs" dxfId="100" priority="75" operator="equal">
      <formula>1</formula>
    </cfRule>
    <cfRule type="cellIs" dxfId="99" priority="76" operator="equal">
      <formula>0</formula>
    </cfRule>
  </conditionalFormatting>
  <conditionalFormatting sqref="K18">
    <cfRule type="cellIs" dxfId="98" priority="33" operator="equal">
      <formula>"Block"</formula>
    </cfRule>
    <cfRule type="cellIs" dxfId="97" priority="34" operator="equal">
      <formula>"."</formula>
    </cfRule>
    <cfRule type="cellIs" dxfId="96" priority="35" operator="equal">
      <formula>1</formula>
    </cfRule>
    <cfRule type="cellIs" dxfId="95" priority="36" operator="equal">
      <formula>0</formula>
    </cfRule>
  </conditionalFormatting>
  <conditionalFormatting sqref="K28">
    <cfRule type="cellIs" dxfId="94" priority="5" operator="equal">
      <formula>"Block"</formula>
    </cfRule>
    <cfRule type="cellIs" dxfId="93" priority="6" operator="equal">
      <formula>"."</formula>
    </cfRule>
    <cfRule type="cellIs" dxfId="92" priority="7" operator="equal">
      <formula>1</formula>
    </cfRule>
    <cfRule type="cellIs" dxfId="91" priority="8" operator="equal">
      <formula>0</formula>
    </cfRule>
  </conditionalFormatting>
  <conditionalFormatting sqref="K38">
    <cfRule type="cellIs" dxfId="90" priority="1" operator="equal">
      <formula>"Block"</formula>
    </cfRule>
    <cfRule type="cellIs" dxfId="89" priority="2" operator="equal">
      <formula>"."</formula>
    </cfRule>
    <cfRule type="cellIs" dxfId="88" priority="3" operator="equal">
      <formula>1</formula>
    </cfRule>
    <cfRule type="cellIs" dxfId="87" priority="4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43C1-2341-4F9E-B9E3-832E93765A04}">
  <dimension ref="B1:R61"/>
  <sheetViews>
    <sheetView topLeftCell="A47" zoomScale="70" zoomScaleNormal="70" workbookViewId="0">
      <selection activeCell="P65" sqref="P65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2.1796875" style="33" bestFit="1" customWidth="1"/>
    <col min="4" max="4" width="11.81640625" style="33" customWidth="1"/>
    <col min="5" max="5" width="32" style="33" hidden="1" customWidth="1"/>
    <col min="6" max="6" width="27.7265625" style="33" hidden="1" customWidth="1"/>
    <col min="7" max="7" width="4.26953125" style="33" hidden="1" customWidth="1"/>
    <col min="8" max="8" width="42.1796875" style="4" hidden="1" customWidth="1"/>
    <col min="9" max="9" width="31.453125" style="40" hidden="1" customWidth="1"/>
    <col min="10" max="10" width="28.453125" style="40" hidden="1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 bestFit="1"/>
    <col min="16" max="16" width="11.7265625" style="4" bestFit="1" customWidth="1"/>
    <col min="17" max="17" width="23.54296875" style="4" customWidth="1"/>
    <col min="18" max="16384" width="9.1796875" style="4"/>
  </cols>
  <sheetData>
    <row r="1" spans="2:18">
      <c r="O1" s="5"/>
    </row>
    <row r="2" spans="2:18" ht="21.75" customHeight="1">
      <c r="B2" s="276">
        <f>SUM(O3:O5)/O7</f>
        <v>0</v>
      </c>
      <c r="C2" s="47"/>
      <c r="D2" s="47"/>
      <c r="E2" s="47"/>
      <c r="F2" s="47"/>
      <c r="G2" s="60"/>
      <c r="H2" s="24" t="s">
        <v>40</v>
      </c>
      <c r="I2" s="63" t="str">
        <f>[1]Cover!B3</f>
        <v xml:space="preserve">Project Name </v>
      </c>
      <c r="J2" s="37"/>
      <c r="K2" s="16"/>
      <c r="L2" s="15"/>
      <c r="N2" s="56" t="s">
        <v>41</v>
      </c>
      <c r="O2" s="55">
        <f>SUM(O3:O5)/O7</f>
        <v>0</v>
      </c>
      <c r="Q2" s="84" t="s">
        <v>42</v>
      </c>
    </row>
    <row r="3" spans="2:18" ht="23.5">
      <c r="B3" s="277"/>
      <c r="C3" s="48"/>
      <c r="D3" s="48"/>
      <c r="E3" s="48"/>
      <c r="F3" s="48"/>
      <c r="G3" s="61"/>
      <c r="H3" s="23" t="s">
        <v>43</v>
      </c>
      <c r="I3" s="59" t="str">
        <f>[1]Cover!B11</f>
        <v>TC01 Login</v>
      </c>
      <c r="J3" s="38"/>
      <c r="K3" s="12"/>
      <c r="L3" s="13"/>
      <c r="N3" s="57" t="s">
        <v>44</v>
      </c>
      <c r="O3" s="58">
        <f>COUNTIF(K7:K56,1)</f>
        <v>0</v>
      </c>
      <c r="Q3" s="84" t="s">
        <v>45</v>
      </c>
      <c r="R3" s="85">
        <f>COUNTIF(D8:D43,"Positive")</f>
        <v>10</v>
      </c>
    </row>
    <row r="4" spans="2:18">
      <c r="B4" s="30" t="s">
        <v>46</v>
      </c>
      <c r="C4" s="49"/>
      <c r="D4" s="49"/>
      <c r="E4" s="49"/>
      <c r="F4" s="49"/>
      <c r="G4" s="62"/>
      <c r="H4" s="23" t="s">
        <v>47</v>
      </c>
      <c r="I4" s="50" t="s">
        <v>48</v>
      </c>
      <c r="J4" s="38"/>
      <c r="K4" s="12"/>
      <c r="L4" s="13"/>
      <c r="M4" s="22"/>
      <c r="N4" s="17" t="s">
        <v>49</v>
      </c>
      <c r="O4" s="18">
        <f>COUNTIF(K7:K56,0)</f>
        <v>0</v>
      </c>
      <c r="P4" s="5"/>
      <c r="Q4" s="84" t="s">
        <v>50</v>
      </c>
      <c r="R4" s="85">
        <f>COUNTIF(D9:D43,"Negative")</f>
        <v>0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COUNTIF(K9:K58,"Block")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60</v>
      </c>
      <c r="N6" s="19" t="s">
        <v>61</v>
      </c>
      <c r="O6" s="20">
        <f>COUNTIF(K7:K56,".")</f>
        <v>12</v>
      </c>
    </row>
    <row r="7" spans="2:18">
      <c r="B7" s="382" t="s">
        <v>62</v>
      </c>
      <c r="C7" s="383"/>
      <c r="D7" s="383"/>
      <c r="E7" s="383"/>
      <c r="F7" s="383"/>
      <c r="G7" s="383"/>
      <c r="H7" s="383"/>
      <c r="I7" s="383"/>
      <c r="J7" s="383"/>
      <c r="K7" s="383"/>
      <c r="L7" s="384"/>
      <c r="N7" s="21" t="s">
        <v>63</v>
      </c>
      <c r="O7" s="21">
        <f>SUM(O3:O6)</f>
        <v>12</v>
      </c>
    </row>
    <row r="8" spans="2:18" ht="15" customHeight="1">
      <c r="B8" s="283" t="s">
        <v>263</v>
      </c>
      <c r="C8" s="364" t="s">
        <v>532</v>
      </c>
      <c r="D8" s="372" t="s">
        <v>66</v>
      </c>
      <c r="E8" s="358"/>
      <c r="F8" s="358"/>
      <c r="G8" s="125" t="s">
        <v>69</v>
      </c>
      <c r="H8" s="174" t="s">
        <v>533</v>
      </c>
      <c r="I8" s="69" t="s">
        <v>266</v>
      </c>
      <c r="J8" s="136"/>
      <c r="K8" s="288" t="s">
        <v>633</v>
      </c>
      <c r="L8" s="367"/>
    </row>
    <row r="9" spans="2:18">
      <c r="B9" s="284"/>
      <c r="C9" s="370"/>
      <c r="D9" s="373"/>
      <c r="E9" s="371"/>
      <c r="F9" s="371"/>
      <c r="G9" s="125" t="s">
        <v>72</v>
      </c>
      <c r="H9" s="174" t="s">
        <v>534</v>
      </c>
      <c r="I9" s="69" t="s">
        <v>268</v>
      </c>
      <c r="J9" s="187"/>
      <c r="K9" s="290"/>
      <c r="L9" s="369"/>
    </row>
    <row r="10" spans="2:18">
      <c r="B10" s="300" t="s">
        <v>263</v>
      </c>
      <c r="C10" s="315" t="s">
        <v>535</v>
      </c>
      <c r="D10" s="365" t="s">
        <v>66</v>
      </c>
      <c r="E10" s="330"/>
      <c r="F10" s="330"/>
      <c r="G10" s="125" t="s">
        <v>69</v>
      </c>
      <c r="H10" s="174" t="s">
        <v>533</v>
      </c>
      <c r="I10" s="116" t="s">
        <v>266</v>
      </c>
      <c r="J10" s="86"/>
      <c r="K10" s="281" t="s">
        <v>633</v>
      </c>
      <c r="L10" s="379"/>
    </row>
    <row r="11" spans="2:18">
      <c r="B11" s="300"/>
      <c r="C11" s="315"/>
      <c r="D11" s="366"/>
      <c r="E11" s="330"/>
      <c r="F11" s="330"/>
      <c r="G11" s="125" t="s">
        <v>72</v>
      </c>
      <c r="H11" s="174" t="s">
        <v>534</v>
      </c>
      <c r="I11" s="116" t="s">
        <v>268</v>
      </c>
      <c r="J11" s="86"/>
      <c r="K11" s="281"/>
      <c r="L11" s="379"/>
    </row>
    <row r="12" spans="2:18">
      <c r="B12" s="300" t="s">
        <v>263</v>
      </c>
      <c r="C12" s="315" t="s">
        <v>536</v>
      </c>
      <c r="D12" s="365" t="s">
        <v>66</v>
      </c>
      <c r="E12" s="330"/>
      <c r="F12" s="330"/>
      <c r="G12" s="125" t="s">
        <v>69</v>
      </c>
      <c r="H12" s="174" t="s">
        <v>533</v>
      </c>
      <c r="I12" s="116" t="s">
        <v>266</v>
      </c>
      <c r="J12" s="86"/>
      <c r="K12" s="281" t="s">
        <v>633</v>
      </c>
      <c r="L12" s="379"/>
    </row>
    <row r="13" spans="2:18">
      <c r="B13" s="300"/>
      <c r="C13" s="315"/>
      <c r="D13" s="366"/>
      <c r="E13" s="330"/>
      <c r="F13" s="330"/>
      <c r="G13" s="125" t="s">
        <v>72</v>
      </c>
      <c r="H13" s="174" t="s">
        <v>534</v>
      </c>
      <c r="I13" s="116" t="s">
        <v>268</v>
      </c>
      <c r="J13" s="86"/>
      <c r="K13" s="281"/>
      <c r="L13" s="379"/>
    </row>
    <row r="14" spans="2:18">
      <c r="B14" s="300" t="s">
        <v>263</v>
      </c>
      <c r="C14" s="315" t="s">
        <v>537</v>
      </c>
      <c r="D14" s="365" t="s">
        <v>66</v>
      </c>
      <c r="E14" s="330"/>
      <c r="F14" s="330"/>
      <c r="G14" s="125" t="s">
        <v>69</v>
      </c>
      <c r="H14" s="174" t="s">
        <v>533</v>
      </c>
      <c r="I14" s="116" t="s">
        <v>266</v>
      </c>
      <c r="J14" s="86"/>
      <c r="K14" s="281" t="s">
        <v>633</v>
      </c>
      <c r="L14" s="379"/>
    </row>
    <row r="15" spans="2:18">
      <c r="B15" s="300"/>
      <c r="C15" s="315"/>
      <c r="D15" s="366"/>
      <c r="E15" s="330"/>
      <c r="F15" s="330"/>
      <c r="G15" s="125" t="s">
        <v>72</v>
      </c>
      <c r="H15" s="174" t="s">
        <v>534</v>
      </c>
      <c r="I15" s="116" t="s">
        <v>268</v>
      </c>
      <c r="J15" s="86"/>
      <c r="K15" s="281"/>
      <c r="L15" s="379"/>
    </row>
    <row r="16" spans="2:18">
      <c r="B16" s="300" t="s">
        <v>263</v>
      </c>
      <c r="C16" s="315" t="s">
        <v>538</v>
      </c>
      <c r="D16" s="365" t="s">
        <v>66</v>
      </c>
      <c r="E16" s="330"/>
      <c r="F16" s="330"/>
      <c r="G16" s="125" t="s">
        <v>69</v>
      </c>
      <c r="H16" s="174" t="s">
        <v>533</v>
      </c>
      <c r="I16" s="116" t="s">
        <v>266</v>
      </c>
      <c r="J16" s="86"/>
      <c r="K16" s="281" t="s">
        <v>633</v>
      </c>
      <c r="L16" s="379"/>
    </row>
    <row r="17" spans="2:12">
      <c r="B17" s="300"/>
      <c r="C17" s="315"/>
      <c r="D17" s="366"/>
      <c r="E17" s="330"/>
      <c r="F17" s="330"/>
      <c r="G17" s="125" t="s">
        <v>72</v>
      </c>
      <c r="H17" s="174" t="s">
        <v>534</v>
      </c>
      <c r="I17" s="116" t="s">
        <v>268</v>
      </c>
      <c r="J17" s="86"/>
      <c r="K17" s="281"/>
      <c r="L17" s="379"/>
    </row>
    <row r="18" spans="2:12">
      <c r="B18" s="300" t="s">
        <v>263</v>
      </c>
      <c r="C18" s="315" t="s">
        <v>539</v>
      </c>
      <c r="D18" s="365" t="s">
        <v>66</v>
      </c>
      <c r="E18" s="330"/>
      <c r="F18" s="330"/>
      <c r="G18" s="125" t="s">
        <v>69</v>
      </c>
      <c r="H18" s="174" t="s">
        <v>533</v>
      </c>
      <c r="I18" s="116" t="s">
        <v>266</v>
      </c>
      <c r="J18" s="86"/>
      <c r="K18" s="281" t="s">
        <v>633</v>
      </c>
      <c r="L18" s="379"/>
    </row>
    <row r="19" spans="2:12">
      <c r="B19" s="300"/>
      <c r="C19" s="315"/>
      <c r="D19" s="366"/>
      <c r="E19" s="330"/>
      <c r="F19" s="330"/>
      <c r="G19" s="125" t="s">
        <v>72</v>
      </c>
      <c r="H19" s="174" t="s">
        <v>534</v>
      </c>
      <c r="I19" s="116" t="s">
        <v>268</v>
      </c>
      <c r="J19" s="86"/>
      <c r="K19" s="281"/>
      <c r="L19" s="379"/>
    </row>
    <row r="20" spans="2:12">
      <c r="B20" s="300" t="s">
        <v>263</v>
      </c>
      <c r="C20" s="315" t="s">
        <v>540</v>
      </c>
      <c r="D20" s="365" t="s">
        <v>66</v>
      </c>
      <c r="E20" s="330"/>
      <c r="F20" s="330"/>
      <c r="G20" s="125" t="s">
        <v>69</v>
      </c>
      <c r="H20" s="174" t="s">
        <v>533</v>
      </c>
      <c r="I20" s="116" t="s">
        <v>266</v>
      </c>
      <c r="J20" s="86"/>
      <c r="K20" s="281" t="s">
        <v>633</v>
      </c>
      <c r="L20" s="379"/>
    </row>
    <row r="21" spans="2:12">
      <c r="B21" s="300"/>
      <c r="C21" s="315"/>
      <c r="D21" s="366"/>
      <c r="E21" s="330"/>
      <c r="F21" s="330"/>
      <c r="G21" s="125" t="s">
        <v>72</v>
      </c>
      <c r="H21" s="174" t="s">
        <v>534</v>
      </c>
      <c r="I21" s="116" t="s">
        <v>268</v>
      </c>
      <c r="J21" s="86"/>
      <c r="K21" s="281"/>
      <c r="L21" s="379"/>
    </row>
    <row r="22" spans="2:12">
      <c r="B22" s="300" t="s">
        <v>263</v>
      </c>
      <c r="C22" s="315" t="s">
        <v>541</v>
      </c>
      <c r="D22" s="365" t="s">
        <v>66</v>
      </c>
      <c r="E22" s="330"/>
      <c r="F22" s="330"/>
      <c r="G22" s="125" t="s">
        <v>69</v>
      </c>
      <c r="H22" s="174" t="s">
        <v>533</v>
      </c>
      <c r="I22" s="116" t="s">
        <v>266</v>
      </c>
      <c r="J22" s="86"/>
      <c r="K22" s="281" t="s">
        <v>633</v>
      </c>
      <c r="L22" s="379"/>
    </row>
    <row r="23" spans="2:12">
      <c r="B23" s="300"/>
      <c r="C23" s="315"/>
      <c r="D23" s="366"/>
      <c r="E23" s="330"/>
      <c r="F23" s="330"/>
      <c r="G23" s="125" t="s">
        <v>72</v>
      </c>
      <c r="H23" s="174" t="s">
        <v>534</v>
      </c>
      <c r="I23" s="116" t="s">
        <v>268</v>
      </c>
      <c r="J23" s="119"/>
      <c r="K23" s="288"/>
      <c r="L23" s="367"/>
    </row>
    <row r="24" spans="2:12" ht="15" customHeight="1">
      <c r="B24" s="380" t="s">
        <v>368</v>
      </c>
      <c r="C24" s="330" t="s">
        <v>542</v>
      </c>
      <c r="D24" s="330" t="s">
        <v>66</v>
      </c>
      <c r="E24" s="330"/>
      <c r="F24" s="166"/>
      <c r="G24" s="66" t="s">
        <v>69</v>
      </c>
      <c r="H24" s="174" t="s">
        <v>288</v>
      </c>
      <c r="I24" s="116" t="s">
        <v>266</v>
      </c>
      <c r="J24" s="86"/>
      <c r="K24" s="281" t="s">
        <v>633</v>
      </c>
      <c r="L24" s="265"/>
    </row>
    <row r="25" spans="2:12">
      <c r="B25" s="380"/>
      <c r="C25" s="330"/>
      <c r="D25" s="330"/>
      <c r="E25" s="330"/>
      <c r="F25" s="166"/>
      <c r="G25" s="66" t="s">
        <v>72</v>
      </c>
      <c r="H25" s="174" t="s">
        <v>290</v>
      </c>
      <c r="I25" s="116" t="s">
        <v>268</v>
      </c>
      <c r="J25" s="86"/>
      <c r="K25" s="281"/>
      <c r="L25" s="265"/>
    </row>
    <row r="26" spans="2:12">
      <c r="B26" s="380"/>
      <c r="C26" s="330"/>
      <c r="D26" s="330"/>
      <c r="E26" s="330"/>
      <c r="F26" s="166"/>
      <c r="G26" s="66" t="s">
        <v>84</v>
      </c>
      <c r="H26" s="174" t="s">
        <v>292</v>
      </c>
      <c r="I26" s="116" t="s">
        <v>270</v>
      </c>
      <c r="J26" s="86"/>
      <c r="K26" s="281"/>
      <c r="L26" s="265"/>
    </row>
    <row r="27" spans="2:12" ht="33" customHeight="1">
      <c r="B27" s="380"/>
      <c r="C27" s="330"/>
      <c r="D27" s="330"/>
      <c r="E27" s="330"/>
      <c r="F27" s="330"/>
      <c r="G27" s="66" t="s">
        <v>75</v>
      </c>
      <c r="H27" s="175" t="s">
        <v>293</v>
      </c>
      <c r="I27" s="118" t="s">
        <v>294</v>
      </c>
      <c r="J27" s="86"/>
      <c r="K27" s="281"/>
      <c r="L27" s="265"/>
    </row>
    <row r="28" spans="2:12" ht="15" customHeight="1">
      <c r="B28" s="380"/>
      <c r="C28" s="330"/>
      <c r="D28" s="330"/>
      <c r="E28" s="330"/>
      <c r="F28" s="330"/>
      <c r="G28" s="66" t="s">
        <v>295</v>
      </c>
      <c r="H28" s="176" t="s">
        <v>296</v>
      </c>
      <c r="I28" s="115" t="s">
        <v>297</v>
      </c>
      <c r="J28" s="86"/>
      <c r="K28" s="281"/>
      <c r="L28" s="265"/>
    </row>
    <row r="29" spans="2:12" ht="15" customHeight="1">
      <c r="B29" s="380"/>
      <c r="C29" s="330"/>
      <c r="D29" s="330"/>
      <c r="E29" s="330"/>
      <c r="F29" s="330"/>
      <c r="G29" s="66" t="s">
        <v>298</v>
      </c>
      <c r="H29" s="176" t="s">
        <v>299</v>
      </c>
      <c r="I29" s="115" t="s">
        <v>300</v>
      </c>
      <c r="J29" s="86"/>
      <c r="K29" s="281"/>
      <c r="L29" s="265"/>
    </row>
    <row r="30" spans="2:12" ht="15" customHeight="1">
      <c r="B30" s="380"/>
      <c r="C30" s="330"/>
      <c r="D30" s="330"/>
      <c r="E30" s="330"/>
      <c r="F30" s="330"/>
      <c r="G30" s="66" t="s">
        <v>301</v>
      </c>
      <c r="H30" s="176" t="s">
        <v>302</v>
      </c>
      <c r="I30" s="115" t="s">
        <v>303</v>
      </c>
      <c r="J30" s="86"/>
      <c r="K30" s="281"/>
      <c r="L30" s="265"/>
    </row>
    <row r="31" spans="2:12">
      <c r="B31" s="380"/>
      <c r="C31" s="330"/>
      <c r="D31" s="330"/>
      <c r="E31" s="330"/>
      <c r="F31" s="330"/>
      <c r="G31" s="100" t="s">
        <v>304</v>
      </c>
      <c r="H31" s="177" t="s">
        <v>305</v>
      </c>
      <c r="I31" s="138"/>
      <c r="J31" s="86"/>
      <c r="K31" s="281"/>
      <c r="L31" s="265"/>
    </row>
    <row r="32" spans="2:12">
      <c r="B32" s="380"/>
      <c r="C32" s="330"/>
      <c r="D32" s="330"/>
      <c r="E32" s="330"/>
      <c r="F32" s="386"/>
      <c r="G32" s="97" t="s">
        <v>306</v>
      </c>
      <c r="H32" s="176" t="s">
        <v>307</v>
      </c>
      <c r="I32" s="115"/>
      <c r="J32" s="86"/>
      <c r="K32" s="281"/>
      <c r="L32" s="265"/>
    </row>
    <row r="33" spans="2:12">
      <c r="B33" s="381"/>
      <c r="C33" s="358"/>
      <c r="D33" s="358"/>
      <c r="E33" s="358"/>
      <c r="F33" s="362"/>
      <c r="G33" s="185" t="s">
        <v>308</v>
      </c>
      <c r="H33" s="177" t="s">
        <v>299</v>
      </c>
      <c r="I33" s="115"/>
      <c r="J33" s="86"/>
      <c r="K33" s="281"/>
      <c r="L33" s="265"/>
    </row>
    <row r="34" spans="2:12" ht="15" customHeight="1">
      <c r="B34" s="268" t="s">
        <v>368</v>
      </c>
      <c r="C34" s="374" t="s">
        <v>543</v>
      </c>
      <c r="D34" s="330" t="s">
        <v>66</v>
      </c>
      <c r="E34" s="330"/>
      <c r="F34" s="166" t="s">
        <v>287</v>
      </c>
      <c r="G34" s="125" t="s">
        <v>69</v>
      </c>
      <c r="H34" s="174" t="s">
        <v>288</v>
      </c>
      <c r="I34" s="180" t="s">
        <v>266</v>
      </c>
      <c r="J34" s="120"/>
      <c r="K34" s="375" t="s">
        <v>633</v>
      </c>
      <c r="L34" s="309"/>
    </row>
    <row r="35" spans="2:12">
      <c r="B35" s="268"/>
      <c r="C35" s="330"/>
      <c r="D35" s="330"/>
      <c r="E35" s="330"/>
      <c r="F35" s="166" t="s">
        <v>289</v>
      </c>
      <c r="G35" s="125" t="s">
        <v>72</v>
      </c>
      <c r="H35" s="174" t="s">
        <v>290</v>
      </c>
      <c r="I35" s="180" t="s">
        <v>268</v>
      </c>
      <c r="J35" s="86"/>
      <c r="K35" s="375"/>
      <c r="L35" s="309"/>
    </row>
    <row r="36" spans="2:12">
      <c r="B36" s="268"/>
      <c r="C36" s="330"/>
      <c r="D36" s="330"/>
      <c r="E36" s="330"/>
      <c r="F36" s="166" t="s">
        <v>291</v>
      </c>
      <c r="G36" s="125" t="s">
        <v>84</v>
      </c>
      <c r="H36" s="174" t="s">
        <v>292</v>
      </c>
      <c r="I36" s="180" t="s">
        <v>270</v>
      </c>
      <c r="J36" s="86"/>
      <c r="K36" s="375"/>
      <c r="L36" s="309"/>
    </row>
    <row r="37" spans="2:12" ht="33" customHeight="1">
      <c r="B37" s="268"/>
      <c r="C37" s="330"/>
      <c r="D37" s="330"/>
      <c r="E37" s="330"/>
      <c r="F37" s="330"/>
      <c r="G37" s="125" t="s">
        <v>75</v>
      </c>
      <c r="H37" s="174" t="s">
        <v>293</v>
      </c>
      <c r="I37" s="181" t="s">
        <v>294</v>
      </c>
      <c r="J37" s="86"/>
      <c r="K37" s="375"/>
      <c r="L37" s="309"/>
    </row>
    <row r="38" spans="2:12" ht="15" customHeight="1">
      <c r="B38" s="268"/>
      <c r="C38" s="330"/>
      <c r="D38" s="330"/>
      <c r="E38" s="330"/>
      <c r="F38" s="330"/>
      <c r="G38" s="125" t="s">
        <v>295</v>
      </c>
      <c r="H38" s="174" t="s">
        <v>296</v>
      </c>
      <c r="I38" s="182" t="s">
        <v>297</v>
      </c>
      <c r="J38" s="86"/>
      <c r="K38" s="375"/>
      <c r="L38" s="309"/>
    </row>
    <row r="39" spans="2:12" ht="15" customHeight="1">
      <c r="B39" s="268"/>
      <c r="C39" s="330"/>
      <c r="D39" s="330"/>
      <c r="E39" s="330"/>
      <c r="F39" s="330"/>
      <c r="G39" s="125" t="s">
        <v>298</v>
      </c>
      <c r="H39" s="174" t="s">
        <v>299</v>
      </c>
      <c r="I39" s="182" t="s">
        <v>300</v>
      </c>
      <c r="J39" s="86"/>
      <c r="K39" s="375"/>
      <c r="L39" s="309"/>
    </row>
    <row r="40" spans="2:12" ht="15" customHeight="1">
      <c r="B40" s="268"/>
      <c r="C40" s="330"/>
      <c r="D40" s="330"/>
      <c r="E40" s="330"/>
      <c r="F40" s="330"/>
      <c r="G40" s="125" t="s">
        <v>301</v>
      </c>
      <c r="H40" s="174" t="s">
        <v>302</v>
      </c>
      <c r="I40" s="182" t="s">
        <v>303</v>
      </c>
      <c r="J40" s="86"/>
      <c r="K40" s="375"/>
      <c r="L40" s="309"/>
    </row>
    <row r="41" spans="2:12">
      <c r="B41" s="268"/>
      <c r="C41" s="330"/>
      <c r="D41" s="330"/>
      <c r="E41" s="330"/>
      <c r="F41" s="330"/>
      <c r="G41" s="125" t="s">
        <v>304</v>
      </c>
      <c r="H41" s="174" t="s">
        <v>305</v>
      </c>
      <c r="I41" s="183"/>
      <c r="J41" s="119"/>
      <c r="K41" s="375"/>
      <c r="L41" s="309"/>
    </row>
    <row r="42" spans="2:12">
      <c r="B42" s="268"/>
      <c r="C42" s="330"/>
      <c r="D42" s="330"/>
      <c r="E42" s="330"/>
      <c r="F42" s="330"/>
      <c r="G42" s="125" t="s">
        <v>306</v>
      </c>
      <c r="H42" s="174" t="s">
        <v>307</v>
      </c>
      <c r="I42" s="184"/>
      <c r="J42" s="162"/>
      <c r="K42" s="376"/>
      <c r="L42" s="309"/>
    </row>
    <row r="43" spans="2:12">
      <c r="B43" s="268"/>
      <c r="C43" s="330"/>
      <c r="D43" s="330"/>
      <c r="E43" s="330"/>
      <c r="F43" s="330"/>
      <c r="G43" s="125" t="s">
        <v>308</v>
      </c>
      <c r="H43" s="174" t="s">
        <v>299</v>
      </c>
      <c r="I43" s="184"/>
      <c r="J43" s="162"/>
      <c r="K43" s="377"/>
      <c r="L43" s="378"/>
    </row>
    <row r="44" spans="2:12">
      <c r="B44" s="268" t="s">
        <v>368</v>
      </c>
      <c r="C44" s="374" t="s">
        <v>544</v>
      </c>
      <c r="D44" s="330" t="s">
        <v>66</v>
      </c>
      <c r="E44" s="330"/>
      <c r="F44" s="166" t="s">
        <v>287</v>
      </c>
      <c r="G44" s="125" t="s">
        <v>69</v>
      </c>
      <c r="H44" s="174" t="s">
        <v>288</v>
      </c>
      <c r="I44" s="180" t="s">
        <v>266</v>
      </c>
      <c r="J44" s="86"/>
      <c r="K44" s="385" t="s">
        <v>633</v>
      </c>
      <c r="L44" s="308"/>
    </row>
    <row r="45" spans="2:12">
      <c r="B45" s="268"/>
      <c r="C45" s="330"/>
      <c r="D45" s="330"/>
      <c r="E45" s="330"/>
      <c r="F45" s="166" t="s">
        <v>289</v>
      </c>
      <c r="G45" s="125" t="s">
        <v>72</v>
      </c>
      <c r="H45" s="174" t="s">
        <v>290</v>
      </c>
      <c r="I45" s="180" t="s">
        <v>268</v>
      </c>
      <c r="J45" s="86"/>
      <c r="K45" s="375"/>
      <c r="L45" s="309"/>
    </row>
    <row r="46" spans="2:12">
      <c r="B46" s="268"/>
      <c r="C46" s="330"/>
      <c r="D46" s="330"/>
      <c r="E46" s="330"/>
      <c r="F46" s="166" t="s">
        <v>291</v>
      </c>
      <c r="G46" s="125" t="s">
        <v>84</v>
      </c>
      <c r="H46" s="174" t="s">
        <v>292</v>
      </c>
      <c r="I46" s="180" t="s">
        <v>270</v>
      </c>
      <c r="J46" s="86"/>
      <c r="K46" s="375"/>
      <c r="L46" s="309"/>
    </row>
    <row r="47" spans="2:12" ht="29">
      <c r="B47" s="268"/>
      <c r="C47" s="330"/>
      <c r="D47" s="330"/>
      <c r="E47" s="330"/>
      <c r="F47" s="330"/>
      <c r="G47" s="125" t="s">
        <v>75</v>
      </c>
      <c r="H47" s="174" t="s">
        <v>293</v>
      </c>
      <c r="I47" s="181" t="s">
        <v>294</v>
      </c>
      <c r="J47" s="86"/>
      <c r="K47" s="375"/>
      <c r="L47" s="309"/>
    </row>
    <row r="48" spans="2:12" ht="29">
      <c r="B48" s="268"/>
      <c r="C48" s="330"/>
      <c r="D48" s="330"/>
      <c r="E48" s="330"/>
      <c r="F48" s="330"/>
      <c r="G48" s="125" t="s">
        <v>295</v>
      </c>
      <c r="H48" s="174" t="s">
        <v>296</v>
      </c>
      <c r="I48" s="182" t="s">
        <v>297</v>
      </c>
      <c r="J48" s="86"/>
      <c r="K48" s="375"/>
      <c r="L48" s="309"/>
    </row>
    <row r="49" spans="2:12" ht="29">
      <c r="B49" s="268"/>
      <c r="C49" s="330"/>
      <c r="D49" s="330"/>
      <c r="E49" s="330"/>
      <c r="F49" s="330"/>
      <c r="G49" s="125" t="s">
        <v>298</v>
      </c>
      <c r="H49" s="174" t="s">
        <v>299</v>
      </c>
      <c r="I49" s="182" t="s">
        <v>300</v>
      </c>
      <c r="J49" s="86"/>
      <c r="K49" s="375"/>
      <c r="L49" s="309"/>
    </row>
    <row r="50" spans="2:12" ht="29">
      <c r="B50" s="268"/>
      <c r="C50" s="330"/>
      <c r="D50" s="330"/>
      <c r="E50" s="330"/>
      <c r="F50" s="330"/>
      <c r="G50" s="125" t="s">
        <v>301</v>
      </c>
      <c r="H50" s="174" t="s">
        <v>302</v>
      </c>
      <c r="I50" s="182" t="s">
        <v>303</v>
      </c>
      <c r="J50" s="86"/>
      <c r="K50" s="375"/>
      <c r="L50" s="309"/>
    </row>
    <row r="51" spans="2:12">
      <c r="B51" s="268"/>
      <c r="C51" s="330"/>
      <c r="D51" s="330"/>
      <c r="E51" s="330"/>
      <c r="F51" s="330"/>
      <c r="G51" s="125" t="s">
        <v>304</v>
      </c>
      <c r="H51" s="174" t="s">
        <v>305</v>
      </c>
      <c r="I51" s="183"/>
      <c r="J51" s="119"/>
      <c r="K51" s="375"/>
      <c r="L51" s="309"/>
    </row>
    <row r="52" spans="2:12">
      <c r="B52" s="268"/>
      <c r="C52" s="330"/>
      <c r="D52" s="330"/>
      <c r="E52" s="330"/>
      <c r="F52" s="330"/>
      <c r="G52" s="125" t="s">
        <v>306</v>
      </c>
      <c r="H52" s="174" t="s">
        <v>307</v>
      </c>
      <c r="I52" s="184"/>
      <c r="J52" s="162"/>
      <c r="K52" s="376"/>
      <c r="L52" s="309"/>
    </row>
    <row r="53" spans="2:12">
      <c r="B53" s="268"/>
      <c r="C53" s="330"/>
      <c r="D53" s="330"/>
      <c r="E53" s="330"/>
      <c r="F53" s="330"/>
      <c r="G53" s="125" t="s">
        <v>308</v>
      </c>
      <c r="H53" s="174" t="s">
        <v>299</v>
      </c>
      <c r="I53" s="184"/>
      <c r="J53" s="162"/>
      <c r="K53" s="377"/>
      <c r="L53" s="378"/>
    </row>
    <row r="54" spans="2:12">
      <c r="B54" s="300" t="s">
        <v>263</v>
      </c>
      <c r="C54" s="315" t="s">
        <v>545</v>
      </c>
      <c r="D54" s="365" t="s">
        <v>66</v>
      </c>
      <c r="E54" s="330"/>
      <c r="F54" s="330"/>
      <c r="G54" s="125" t="s">
        <v>69</v>
      </c>
      <c r="H54" s="174" t="s">
        <v>533</v>
      </c>
      <c r="I54" s="116" t="s">
        <v>266</v>
      </c>
      <c r="J54" s="86"/>
      <c r="K54" s="281" t="s">
        <v>633</v>
      </c>
      <c r="L54" s="379" t="s">
        <v>546</v>
      </c>
    </row>
    <row r="55" spans="2:12">
      <c r="B55" s="300"/>
      <c r="C55" s="315"/>
      <c r="D55" s="366"/>
      <c r="E55" s="330"/>
      <c r="F55" s="330"/>
      <c r="G55" s="125" t="s">
        <v>72</v>
      </c>
      <c r="H55" s="174" t="s">
        <v>534</v>
      </c>
      <c r="I55" s="116" t="s">
        <v>268</v>
      </c>
      <c r="J55" s="119"/>
      <c r="K55" s="288"/>
      <c r="L55" s="367"/>
    </row>
    <row r="56" spans="2:12">
      <c r="B56" s="305"/>
      <c r="C56" s="306"/>
      <c r="D56" s="306"/>
      <c r="E56" s="306"/>
      <c r="F56" s="306"/>
      <c r="G56" s="306"/>
      <c r="H56" s="306"/>
      <c r="I56" s="306"/>
      <c r="J56" s="306"/>
      <c r="K56" s="306"/>
      <c r="L56" s="307"/>
    </row>
    <row r="57" spans="2:12">
      <c r="K57" s="4"/>
    </row>
    <row r="58" spans="2:12">
      <c r="K58" s="4"/>
    </row>
    <row r="59" spans="2:12">
      <c r="K59" s="4"/>
    </row>
    <row r="60" spans="2:12">
      <c r="K60" s="4"/>
    </row>
    <row r="61" spans="2:12">
      <c r="K61" s="4"/>
    </row>
  </sheetData>
  <mergeCells count="88">
    <mergeCell ref="K22:K23"/>
    <mergeCell ref="L22:L23"/>
    <mergeCell ref="B44:B53"/>
    <mergeCell ref="C44:C53"/>
    <mergeCell ref="D44:D53"/>
    <mergeCell ref="E44:E53"/>
    <mergeCell ref="K44:K53"/>
    <mergeCell ref="L44:L53"/>
    <mergeCell ref="F47:F53"/>
    <mergeCell ref="B22:B23"/>
    <mergeCell ref="C22:C23"/>
    <mergeCell ref="D22:D23"/>
    <mergeCell ref="E22:E23"/>
    <mergeCell ref="F22:F23"/>
    <mergeCell ref="L24:L33"/>
    <mergeCell ref="F27:F33"/>
    <mergeCell ref="K18:K19"/>
    <mergeCell ref="L18:L19"/>
    <mergeCell ref="B20:B21"/>
    <mergeCell ref="C20:C21"/>
    <mergeCell ref="D20:D21"/>
    <mergeCell ref="E20:E21"/>
    <mergeCell ref="F20:F21"/>
    <mergeCell ref="K20:K21"/>
    <mergeCell ref="L20:L21"/>
    <mergeCell ref="B18:B19"/>
    <mergeCell ref="C18:C19"/>
    <mergeCell ref="D18:D19"/>
    <mergeCell ref="E18:E19"/>
    <mergeCell ref="F18:F19"/>
    <mergeCell ref="E10:E11"/>
    <mergeCell ref="F10:F11"/>
    <mergeCell ref="K14:K15"/>
    <mergeCell ref="L14:L15"/>
    <mergeCell ref="B16:B17"/>
    <mergeCell ref="C16:C17"/>
    <mergeCell ref="D16:D17"/>
    <mergeCell ref="E16:E17"/>
    <mergeCell ref="F16:F17"/>
    <mergeCell ref="K16:K17"/>
    <mergeCell ref="L16:L17"/>
    <mergeCell ref="B14:B15"/>
    <mergeCell ref="C14:C15"/>
    <mergeCell ref="D14:D15"/>
    <mergeCell ref="E14:E15"/>
    <mergeCell ref="F14:F15"/>
    <mergeCell ref="B2:B3"/>
    <mergeCell ref="G6:H6"/>
    <mergeCell ref="K10:K11"/>
    <mergeCell ref="L10:L11"/>
    <mergeCell ref="B12:B13"/>
    <mergeCell ref="C12:C13"/>
    <mergeCell ref="D12:D13"/>
    <mergeCell ref="E12:E13"/>
    <mergeCell ref="F12:F13"/>
    <mergeCell ref="K12:K13"/>
    <mergeCell ref="L12:L13"/>
    <mergeCell ref="B10:B11"/>
    <mergeCell ref="C10:C11"/>
    <mergeCell ref="D10:D11"/>
    <mergeCell ref="B8:B9"/>
    <mergeCell ref="B7:L7"/>
    <mergeCell ref="B24:B33"/>
    <mergeCell ref="C24:C33"/>
    <mergeCell ref="D24:D33"/>
    <mergeCell ref="E24:E33"/>
    <mergeCell ref="K24:K33"/>
    <mergeCell ref="B56:L56"/>
    <mergeCell ref="B34:B43"/>
    <mergeCell ref="C34:C43"/>
    <mergeCell ref="D34:D43"/>
    <mergeCell ref="E34:E43"/>
    <mergeCell ref="K34:K43"/>
    <mergeCell ref="L34:L43"/>
    <mergeCell ref="F37:F43"/>
    <mergeCell ref="K54:K55"/>
    <mergeCell ref="L54:L55"/>
    <mergeCell ref="B54:B55"/>
    <mergeCell ref="C54:C55"/>
    <mergeCell ref="D54:D55"/>
    <mergeCell ref="E54:E55"/>
    <mergeCell ref="F54:F55"/>
    <mergeCell ref="C8:C9"/>
    <mergeCell ref="F8:F9"/>
    <mergeCell ref="L8:L9"/>
    <mergeCell ref="K8:K9"/>
    <mergeCell ref="E8:E9"/>
    <mergeCell ref="D8:D9"/>
  </mergeCells>
  <conditionalFormatting sqref="K8">
    <cfRule type="cellIs" dxfId="86" priority="103" operator="equal">
      <formula>1</formula>
    </cfRule>
    <cfRule type="cellIs" dxfId="85" priority="102" operator="equal">
      <formula>"."</formula>
    </cfRule>
    <cfRule type="cellIs" dxfId="84" priority="101" operator="equal">
      <formula>"Block"</formula>
    </cfRule>
    <cfRule type="cellIs" dxfId="83" priority="104" operator="equal">
      <formula>0</formula>
    </cfRule>
  </conditionalFormatting>
  <conditionalFormatting sqref="K10">
    <cfRule type="cellIs" dxfId="82" priority="35" operator="equal">
      <formula>1</formula>
    </cfRule>
    <cfRule type="cellIs" dxfId="81" priority="36" operator="equal">
      <formula>0</formula>
    </cfRule>
    <cfRule type="cellIs" dxfId="80" priority="34" operator="equal">
      <formula>"."</formula>
    </cfRule>
    <cfRule type="cellIs" dxfId="79" priority="33" operator="equal">
      <formula>"Block"</formula>
    </cfRule>
  </conditionalFormatting>
  <conditionalFormatting sqref="K12">
    <cfRule type="cellIs" dxfId="78" priority="29" operator="equal">
      <formula>"Block"</formula>
    </cfRule>
    <cfRule type="cellIs" dxfId="77" priority="31" operator="equal">
      <formula>1</formula>
    </cfRule>
    <cfRule type="cellIs" dxfId="76" priority="32" operator="equal">
      <formula>0</formula>
    </cfRule>
    <cfRule type="cellIs" dxfId="75" priority="30" operator="equal">
      <formula>"."</formula>
    </cfRule>
  </conditionalFormatting>
  <conditionalFormatting sqref="K14">
    <cfRule type="cellIs" dxfId="74" priority="25" operator="equal">
      <formula>"Block"</formula>
    </cfRule>
    <cfRule type="cellIs" dxfId="73" priority="26" operator="equal">
      <formula>"."</formula>
    </cfRule>
    <cfRule type="cellIs" dxfId="72" priority="27" operator="equal">
      <formula>1</formula>
    </cfRule>
    <cfRule type="cellIs" dxfId="71" priority="28" operator="equal">
      <formula>0</formula>
    </cfRule>
  </conditionalFormatting>
  <conditionalFormatting sqref="K16">
    <cfRule type="cellIs" dxfId="70" priority="24" operator="equal">
      <formula>0</formula>
    </cfRule>
    <cfRule type="cellIs" dxfId="69" priority="23" operator="equal">
      <formula>1</formula>
    </cfRule>
    <cfRule type="cellIs" dxfId="68" priority="22" operator="equal">
      <formula>"."</formula>
    </cfRule>
    <cfRule type="cellIs" dxfId="67" priority="21" operator="equal">
      <formula>"Block"</formula>
    </cfRule>
  </conditionalFormatting>
  <conditionalFormatting sqref="K18">
    <cfRule type="cellIs" dxfId="66" priority="19" operator="equal">
      <formula>1</formula>
    </cfRule>
    <cfRule type="cellIs" dxfId="65" priority="20" operator="equal">
      <formula>0</formula>
    </cfRule>
    <cfRule type="cellIs" dxfId="64" priority="18" operator="equal">
      <formula>"."</formula>
    </cfRule>
    <cfRule type="cellIs" dxfId="63" priority="17" operator="equal">
      <formula>"Block"</formula>
    </cfRule>
  </conditionalFormatting>
  <conditionalFormatting sqref="K20">
    <cfRule type="cellIs" dxfId="62" priority="13" operator="equal">
      <formula>"Block"</formula>
    </cfRule>
    <cfRule type="cellIs" dxfId="61" priority="16" operator="equal">
      <formula>0</formula>
    </cfRule>
    <cfRule type="cellIs" dxfId="60" priority="15" operator="equal">
      <formula>1</formula>
    </cfRule>
    <cfRule type="cellIs" dxfId="59" priority="14" operator="equal">
      <formula>"."</formula>
    </cfRule>
  </conditionalFormatting>
  <conditionalFormatting sqref="K22">
    <cfRule type="cellIs" dxfId="58" priority="9" operator="equal">
      <formula>"Block"</formula>
    </cfRule>
    <cfRule type="cellIs" dxfId="57" priority="10" operator="equal">
      <formula>"."</formula>
    </cfRule>
    <cfRule type="cellIs" dxfId="56" priority="11" operator="equal">
      <formula>1</formula>
    </cfRule>
    <cfRule type="cellIs" dxfId="55" priority="12" operator="equal">
      <formula>0</formula>
    </cfRule>
  </conditionalFormatting>
  <conditionalFormatting sqref="K24">
    <cfRule type="cellIs" dxfId="54" priority="61" operator="equal">
      <formula>"Block"</formula>
    </cfRule>
    <cfRule type="cellIs" dxfId="53" priority="63" operator="equal">
      <formula>1</formula>
    </cfRule>
    <cfRule type="cellIs" dxfId="52" priority="64" operator="equal">
      <formula>0</formula>
    </cfRule>
    <cfRule type="cellIs" dxfId="51" priority="62" operator="equal">
      <formula>"."</formula>
    </cfRule>
  </conditionalFormatting>
  <conditionalFormatting sqref="K34">
    <cfRule type="cellIs" dxfId="50" priority="53" operator="equal">
      <formula>"Block"</formula>
    </cfRule>
    <cfRule type="cellIs" dxfId="49" priority="54" operator="equal">
      <formula>"."</formula>
    </cfRule>
    <cfRule type="cellIs" dxfId="48" priority="55" operator="equal">
      <formula>1</formula>
    </cfRule>
    <cfRule type="cellIs" dxfId="47" priority="56" operator="equal">
      <formula>0</formula>
    </cfRule>
  </conditionalFormatting>
  <conditionalFormatting sqref="K44">
    <cfRule type="cellIs" dxfId="46" priority="5" operator="equal">
      <formula>"Block"</formula>
    </cfRule>
    <cfRule type="cellIs" dxfId="45" priority="6" operator="equal">
      <formula>"."</formula>
    </cfRule>
    <cfRule type="cellIs" dxfId="44" priority="8" operator="equal">
      <formula>0</formula>
    </cfRule>
    <cfRule type="cellIs" dxfId="43" priority="7" operator="equal">
      <formula>1</formula>
    </cfRule>
  </conditionalFormatting>
  <conditionalFormatting sqref="K54">
    <cfRule type="cellIs" dxfId="42" priority="2" operator="equal">
      <formula>"."</formula>
    </cfRule>
    <cfRule type="cellIs" dxfId="41" priority="3" operator="equal">
      <formula>1</formula>
    </cfRule>
    <cfRule type="cellIs" dxfId="40" priority="4" operator="equal">
      <formula>0</formula>
    </cfRule>
    <cfRule type="cellIs" dxfId="39" priority="1" operator="equal">
      <formula>"Block"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414F-9D4A-4FF4-9C9C-43ADC0175B30}">
  <dimension ref="B1:R40"/>
  <sheetViews>
    <sheetView topLeftCell="C1" zoomScale="70" zoomScaleNormal="70" workbookViewId="0">
      <selection activeCell="L21" sqref="L21:L23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2.1796875" style="33" bestFit="1" customWidth="1"/>
    <col min="4" max="4" width="11.81640625" style="33" customWidth="1"/>
    <col min="5" max="5" width="32" style="33" customWidth="1"/>
    <col min="6" max="6" width="27.7265625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7" width="23.54296875" style="4" customWidth="1"/>
    <col min="18" max="16384" width="9.1796875" style="4"/>
  </cols>
  <sheetData>
    <row r="1" spans="2:18">
      <c r="O1" s="5"/>
    </row>
    <row r="2" spans="2:18" ht="21.75" customHeight="1">
      <c r="B2" s="276">
        <f>SUM(O3:O5)/O7</f>
        <v>0</v>
      </c>
      <c r="C2" s="47"/>
      <c r="D2" s="47"/>
      <c r="E2" s="47"/>
      <c r="F2" s="47"/>
      <c r="G2" s="60"/>
      <c r="H2" s="24" t="s">
        <v>40</v>
      </c>
      <c r="I2" s="63" t="str">
        <f>[1]Cover!B3</f>
        <v xml:space="preserve">Project Name </v>
      </c>
      <c r="J2" s="37"/>
      <c r="K2" s="16"/>
      <c r="L2" s="15"/>
      <c r="N2" s="56" t="s">
        <v>41</v>
      </c>
      <c r="O2" s="55">
        <f>SUM(O3:O5)/O7</f>
        <v>0</v>
      </c>
      <c r="Q2" s="84" t="s">
        <v>42</v>
      </c>
    </row>
    <row r="3" spans="2:18" ht="23.5">
      <c r="B3" s="277"/>
      <c r="C3" s="48"/>
      <c r="D3" s="48"/>
      <c r="E3" s="48"/>
      <c r="F3" s="48"/>
      <c r="G3" s="61"/>
      <c r="H3" s="23" t="s">
        <v>43</v>
      </c>
      <c r="I3" s="59" t="str">
        <f>[1]Cover!B11</f>
        <v>TC01 Login</v>
      </c>
      <c r="J3" s="38"/>
      <c r="K3" s="12"/>
      <c r="L3" s="13"/>
      <c r="N3" s="57" t="s">
        <v>44</v>
      </c>
      <c r="O3" s="58">
        <f>COUNTIF(K7:K30,1)</f>
        <v>0</v>
      </c>
      <c r="Q3" s="84" t="s">
        <v>45</v>
      </c>
      <c r="R3" s="85">
        <f>COUNTIF(D8:D17,"Positive")</f>
        <v>2</v>
      </c>
    </row>
    <row r="4" spans="2:18">
      <c r="B4" s="30" t="s">
        <v>46</v>
      </c>
      <c r="C4" s="49"/>
      <c r="D4" s="49"/>
      <c r="E4" s="49"/>
      <c r="F4" s="49"/>
      <c r="G4" s="62"/>
      <c r="H4" s="23" t="s">
        <v>47</v>
      </c>
      <c r="I4" s="50" t="s">
        <v>48</v>
      </c>
      <c r="J4" s="38"/>
      <c r="K4" s="12"/>
      <c r="L4" s="13"/>
      <c r="M4" s="22"/>
      <c r="N4" s="17" t="s">
        <v>49</v>
      </c>
      <c r="O4" s="18">
        <f>COUNTIF(K7:K30,0)</f>
        <v>0</v>
      </c>
      <c r="P4" s="5"/>
      <c r="Q4" s="84" t="s">
        <v>50</v>
      </c>
      <c r="R4" s="85">
        <f>COUNTIF(D9:D17,"Negative")</f>
        <v>1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COUNTIF(K9:K32,"Block")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60</v>
      </c>
      <c r="N6" s="19" t="s">
        <v>61</v>
      </c>
      <c r="O6" s="20">
        <f>COUNTIF(K7:K30,".")</f>
        <v>3</v>
      </c>
    </row>
    <row r="7" spans="2:18">
      <c r="B7" s="280" t="s">
        <v>62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N7" s="21" t="s">
        <v>63</v>
      </c>
      <c r="O7" s="21">
        <f>SUM(O3:O6)</f>
        <v>3</v>
      </c>
    </row>
    <row r="8" spans="2:18" ht="15" customHeight="1">
      <c r="B8" s="268" t="s">
        <v>64</v>
      </c>
      <c r="C8" s="269" t="s">
        <v>547</v>
      </c>
      <c r="D8" s="269" t="s">
        <v>66</v>
      </c>
      <c r="E8" s="269" t="s">
        <v>67</v>
      </c>
      <c r="F8" s="269" t="s">
        <v>68</v>
      </c>
      <c r="G8" s="125" t="s">
        <v>69</v>
      </c>
      <c r="H8" s="68" t="s">
        <v>70</v>
      </c>
      <c r="I8" s="69" t="s">
        <v>71</v>
      </c>
      <c r="J8" s="86"/>
      <c r="K8" s="281" t="s">
        <v>633</v>
      </c>
      <c r="L8" s="265"/>
    </row>
    <row r="9" spans="2:18">
      <c r="B9" s="268"/>
      <c r="C9" s="269"/>
      <c r="D9" s="269"/>
      <c r="E9" s="269"/>
      <c r="F9" s="269"/>
      <c r="G9" s="125" t="s">
        <v>72</v>
      </c>
      <c r="H9" s="68" t="s">
        <v>73</v>
      </c>
      <c r="I9" s="69" t="s">
        <v>74</v>
      </c>
      <c r="J9" s="86"/>
      <c r="K9" s="281"/>
      <c r="L9" s="265"/>
    </row>
    <row r="10" spans="2:18">
      <c r="B10" s="268"/>
      <c r="C10" s="269"/>
      <c r="D10" s="269"/>
      <c r="E10" s="269"/>
      <c r="F10" s="269"/>
      <c r="G10" s="125" t="s">
        <v>75</v>
      </c>
      <c r="H10" s="68" t="s">
        <v>76</v>
      </c>
      <c r="I10" s="69"/>
      <c r="J10" s="86"/>
      <c r="K10" s="281"/>
      <c r="L10" s="265"/>
    </row>
    <row r="11" spans="2:18" ht="15" customHeight="1">
      <c r="B11" s="268" t="s">
        <v>77</v>
      </c>
      <c r="C11" s="275" t="s">
        <v>548</v>
      </c>
      <c r="D11" s="269" t="s">
        <v>66</v>
      </c>
      <c r="E11" s="269" t="s">
        <v>67</v>
      </c>
      <c r="F11" s="269"/>
      <c r="G11" s="125" t="s">
        <v>69</v>
      </c>
      <c r="H11" s="126" t="s">
        <v>79</v>
      </c>
      <c r="I11" s="127" t="s">
        <v>80</v>
      </c>
      <c r="J11" s="86"/>
      <c r="K11" s="281"/>
      <c r="L11" s="265" t="s">
        <v>549</v>
      </c>
    </row>
    <row r="12" spans="2:18">
      <c r="B12" s="268"/>
      <c r="C12" s="275"/>
      <c r="D12" s="269"/>
      <c r="E12" s="269"/>
      <c r="F12" s="269"/>
      <c r="G12" s="125" t="s">
        <v>72</v>
      </c>
      <c r="H12" s="126" t="s">
        <v>82</v>
      </c>
      <c r="I12" s="127" t="s">
        <v>83</v>
      </c>
      <c r="J12" s="86"/>
      <c r="K12" s="281"/>
      <c r="L12" s="265"/>
    </row>
    <row r="13" spans="2:18">
      <c r="B13" s="268"/>
      <c r="C13" s="275"/>
      <c r="D13" s="269"/>
      <c r="E13" s="269"/>
      <c r="F13" s="269"/>
      <c r="G13" s="125" t="s">
        <v>84</v>
      </c>
      <c r="H13" s="126" t="s">
        <v>85</v>
      </c>
      <c r="I13" s="127" t="s">
        <v>83</v>
      </c>
      <c r="J13" s="86"/>
      <c r="K13" s="281"/>
      <c r="L13" s="265"/>
    </row>
    <row r="14" spans="2:18">
      <c r="B14" s="268"/>
      <c r="C14" s="275"/>
      <c r="D14" s="269"/>
      <c r="E14" s="269"/>
      <c r="F14" s="269"/>
      <c r="G14" s="125" t="s">
        <v>75</v>
      </c>
      <c r="H14" s="126" t="s">
        <v>86</v>
      </c>
      <c r="I14" s="127" t="s">
        <v>87</v>
      </c>
      <c r="J14" s="123"/>
      <c r="K14" s="281"/>
      <c r="L14" s="265"/>
    </row>
    <row r="15" spans="2:18">
      <c r="B15" s="268" t="s">
        <v>89</v>
      </c>
      <c r="C15" s="268" t="s">
        <v>550</v>
      </c>
      <c r="D15" s="268" t="s">
        <v>91</v>
      </c>
      <c r="E15" s="269" t="s">
        <v>67</v>
      </c>
      <c r="F15" s="117"/>
      <c r="G15" s="125" t="s">
        <v>69</v>
      </c>
      <c r="H15" s="68" t="s">
        <v>101</v>
      </c>
      <c r="I15" s="69" t="s">
        <v>102</v>
      </c>
      <c r="J15" s="134"/>
      <c r="K15" s="281"/>
      <c r="L15" s="265" t="s">
        <v>549</v>
      </c>
    </row>
    <row r="16" spans="2:18" ht="29">
      <c r="B16" s="268"/>
      <c r="C16" s="268"/>
      <c r="D16" s="268"/>
      <c r="E16" s="269"/>
      <c r="F16" s="117"/>
      <c r="G16" s="125" t="s">
        <v>72</v>
      </c>
      <c r="H16" s="68" t="s">
        <v>103</v>
      </c>
      <c r="I16" s="69" t="s">
        <v>104</v>
      </c>
      <c r="J16" s="86"/>
      <c r="K16" s="281"/>
      <c r="L16" s="265"/>
    </row>
    <row r="17" spans="2:12">
      <c r="B17" s="268"/>
      <c r="C17" s="268"/>
      <c r="D17" s="268"/>
      <c r="E17" s="269"/>
      <c r="F17" s="133"/>
      <c r="G17" s="125" t="s">
        <v>84</v>
      </c>
      <c r="H17" s="68" t="s">
        <v>76</v>
      </c>
      <c r="I17" s="135"/>
      <c r="J17" s="86"/>
      <c r="K17" s="281"/>
      <c r="L17" s="265"/>
    </row>
    <row r="18" spans="2:12">
      <c r="B18" s="268" t="s">
        <v>94</v>
      </c>
      <c r="C18" s="268" t="s">
        <v>551</v>
      </c>
      <c r="D18" s="268" t="s">
        <v>91</v>
      </c>
      <c r="E18" s="269" t="s">
        <v>67</v>
      </c>
      <c r="F18" s="117"/>
      <c r="G18" s="125" t="s">
        <v>69</v>
      </c>
      <c r="H18" s="68" t="s">
        <v>101</v>
      </c>
      <c r="I18" s="69" t="s">
        <v>102</v>
      </c>
      <c r="J18" s="72"/>
      <c r="K18" s="264"/>
      <c r="L18" s="265"/>
    </row>
    <row r="19" spans="2:12" ht="29">
      <c r="B19" s="268"/>
      <c r="C19" s="268"/>
      <c r="D19" s="268"/>
      <c r="E19" s="269"/>
      <c r="F19" s="117"/>
      <c r="G19" s="125" t="s">
        <v>72</v>
      </c>
      <c r="H19" s="68" t="s">
        <v>103</v>
      </c>
      <c r="I19" s="69" t="s">
        <v>104</v>
      </c>
      <c r="J19" s="72"/>
      <c r="K19" s="264"/>
      <c r="L19" s="265"/>
    </row>
    <row r="20" spans="2:12">
      <c r="B20" s="268"/>
      <c r="C20" s="268"/>
      <c r="D20" s="268"/>
      <c r="E20" s="269"/>
      <c r="F20" s="133"/>
      <c r="G20" s="125" t="s">
        <v>84</v>
      </c>
      <c r="H20" s="68" t="s">
        <v>76</v>
      </c>
      <c r="I20" s="135"/>
      <c r="J20" s="72"/>
      <c r="K20" s="264"/>
      <c r="L20" s="265"/>
    </row>
    <row r="21" spans="2:12">
      <c r="B21" s="268" t="s">
        <v>94</v>
      </c>
      <c r="C21" s="268" t="s">
        <v>552</v>
      </c>
      <c r="D21" s="268" t="s">
        <v>91</v>
      </c>
      <c r="E21" s="269" t="s">
        <v>67</v>
      </c>
      <c r="F21" s="117"/>
      <c r="G21" s="125" t="s">
        <v>69</v>
      </c>
      <c r="H21" s="68" t="s">
        <v>101</v>
      </c>
      <c r="I21" s="69" t="s">
        <v>102</v>
      </c>
      <c r="J21" s="72"/>
      <c r="K21" s="264"/>
      <c r="L21" s="265" t="s">
        <v>553</v>
      </c>
    </row>
    <row r="22" spans="2:12" ht="29">
      <c r="B22" s="268"/>
      <c r="C22" s="268"/>
      <c r="D22" s="268"/>
      <c r="E22" s="269"/>
      <c r="F22" s="117"/>
      <c r="G22" s="125" t="s">
        <v>72</v>
      </c>
      <c r="H22" s="68" t="s">
        <v>103</v>
      </c>
      <c r="I22" s="69" t="s">
        <v>104</v>
      </c>
      <c r="J22" s="72"/>
      <c r="K22" s="264"/>
      <c r="L22" s="265"/>
    </row>
    <row r="23" spans="2:12">
      <c r="B23" s="268"/>
      <c r="C23" s="268"/>
      <c r="D23" s="268"/>
      <c r="E23" s="269"/>
      <c r="F23" s="133"/>
      <c r="G23" s="125" t="s">
        <v>84</v>
      </c>
      <c r="H23" s="68" t="s">
        <v>76</v>
      </c>
      <c r="I23" s="135"/>
      <c r="J23" s="72"/>
      <c r="K23" s="264"/>
      <c r="L23" s="265"/>
    </row>
    <row r="24" spans="2:12" ht="15" customHeight="1">
      <c r="B24" s="268" t="s">
        <v>105</v>
      </c>
      <c r="C24" s="268" t="s">
        <v>554</v>
      </c>
      <c r="D24" s="268" t="s">
        <v>91</v>
      </c>
      <c r="E24" s="269" t="s">
        <v>67</v>
      </c>
      <c r="F24" s="117"/>
      <c r="G24" s="125" t="s">
        <v>69</v>
      </c>
      <c r="H24" s="126" t="s">
        <v>107</v>
      </c>
      <c r="I24" s="147" t="s">
        <v>108</v>
      </c>
      <c r="J24" s="72"/>
      <c r="K24" s="264" t="s">
        <v>633</v>
      </c>
      <c r="L24" s="265"/>
    </row>
    <row r="25" spans="2:12">
      <c r="B25" s="268"/>
      <c r="C25" s="268"/>
      <c r="D25" s="268"/>
      <c r="E25" s="269"/>
      <c r="F25" s="117"/>
      <c r="G25" s="125" t="s">
        <v>72</v>
      </c>
      <c r="H25" s="126" t="s">
        <v>109</v>
      </c>
      <c r="I25" s="147" t="s">
        <v>110</v>
      </c>
      <c r="J25" s="72"/>
      <c r="K25" s="264"/>
      <c r="L25" s="265"/>
    </row>
    <row r="26" spans="2:12">
      <c r="B26" s="268"/>
      <c r="C26" s="268"/>
      <c r="D26" s="268"/>
      <c r="E26" s="269"/>
      <c r="F26" s="133"/>
      <c r="G26" s="125" t="s">
        <v>84</v>
      </c>
      <c r="H26" s="126" t="s">
        <v>111</v>
      </c>
      <c r="I26" s="127" t="s">
        <v>112</v>
      </c>
      <c r="J26" s="72"/>
      <c r="K26" s="264"/>
      <c r="L26" s="265"/>
    </row>
    <row r="27" spans="2:12" ht="15" customHeight="1">
      <c r="B27" s="268" t="s">
        <v>113</v>
      </c>
      <c r="C27" s="268" t="s">
        <v>555</v>
      </c>
      <c r="D27" s="268" t="s">
        <v>91</v>
      </c>
      <c r="E27" s="269" t="s">
        <v>67</v>
      </c>
      <c r="F27" s="117"/>
      <c r="G27" s="125" t="s">
        <v>69</v>
      </c>
      <c r="H27" s="126" t="s">
        <v>115</v>
      </c>
      <c r="I27" s="147" t="s">
        <v>116</v>
      </c>
      <c r="J27" s="72"/>
      <c r="K27" s="264" t="s">
        <v>633</v>
      </c>
      <c r="L27" s="265"/>
    </row>
    <row r="28" spans="2:12">
      <c r="B28" s="268"/>
      <c r="C28" s="268"/>
      <c r="D28" s="268"/>
      <c r="E28" s="269"/>
      <c r="F28" s="117"/>
      <c r="G28" s="125" t="s">
        <v>72</v>
      </c>
      <c r="H28" s="126" t="s">
        <v>109</v>
      </c>
      <c r="I28" s="147" t="s">
        <v>110</v>
      </c>
      <c r="J28" s="72"/>
      <c r="K28" s="264"/>
      <c r="L28" s="265"/>
    </row>
    <row r="29" spans="2:12">
      <c r="B29" s="268"/>
      <c r="C29" s="268"/>
      <c r="D29" s="268"/>
      <c r="E29" s="269"/>
      <c r="F29" s="133"/>
      <c r="G29" s="125" t="s">
        <v>84</v>
      </c>
      <c r="H29" s="126" t="s">
        <v>117</v>
      </c>
      <c r="I29" s="127" t="s">
        <v>112</v>
      </c>
      <c r="J29" s="72"/>
      <c r="K29" s="264"/>
      <c r="L29" s="265"/>
    </row>
    <row r="30" spans="2:12">
      <c r="B30" s="282" t="s">
        <v>69</v>
      </c>
      <c r="C30" s="282"/>
      <c r="D30" s="282"/>
      <c r="E30" s="282"/>
      <c r="F30" s="282"/>
      <c r="G30" s="282"/>
      <c r="H30" s="282"/>
      <c r="I30" s="282"/>
      <c r="J30" s="282"/>
      <c r="K30" s="282"/>
      <c r="L30" s="282"/>
    </row>
    <row r="31" spans="2:12">
      <c r="K31" s="4"/>
    </row>
    <row r="32" spans="2:12">
      <c r="K32" s="4"/>
    </row>
    <row r="33" spans="9:11">
      <c r="K33" s="4"/>
    </row>
    <row r="34" spans="9:11">
      <c r="K34" s="4"/>
    </row>
    <row r="35" spans="9:11">
      <c r="K35" s="4"/>
    </row>
    <row r="37" spans="9:11">
      <c r="I37" s="4"/>
    </row>
    <row r="38" spans="9:11">
      <c r="I38" s="4"/>
    </row>
    <row r="39" spans="9:11">
      <c r="I39" s="4"/>
    </row>
    <row r="40" spans="9:11">
      <c r="I40" s="4"/>
    </row>
  </sheetData>
  <mergeCells count="48">
    <mergeCell ref="B30:L30"/>
    <mergeCell ref="B27:B29"/>
    <mergeCell ref="C27:C29"/>
    <mergeCell ref="D27:D29"/>
    <mergeCell ref="E27:E29"/>
    <mergeCell ref="K27:K29"/>
    <mergeCell ref="L27:L29"/>
    <mergeCell ref="D18:D20"/>
    <mergeCell ref="E18:E20"/>
    <mergeCell ref="K18:K20"/>
    <mergeCell ref="L24:L26"/>
    <mergeCell ref="B21:B23"/>
    <mergeCell ref="C21:C23"/>
    <mergeCell ref="D21:D23"/>
    <mergeCell ref="E21:E23"/>
    <mergeCell ref="K21:K23"/>
    <mergeCell ref="L21:L23"/>
    <mergeCell ref="B24:B26"/>
    <mergeCell ref="C24:C26"/>
    <mergeCell ref="D24:D26"/>
    <mergeCell ref="E24:E26"/>
    <mergeCell ref="K24:K26"/>
    <mergeCell ref="L18:L20"/>
    <mergeCell ref="E15:E17"/>
    <mergeCell ref="K15:K17"/>
    <mergeCell ref="L15:L17"/>
    <mergeCell ref="B11:B14"/>
    <mergeCell ref="C11:C14"/>
    <mergeCell ref="D11:D14"/>
    <mergeCell ref="E11:E14"/>
    <mergeCell ref="F11:F14"/>
    <mergeCell ref="K11:K14"/>
    <mergeCell ref="B18:B20"/>
    <mergeCell ref="C18:C20"/>
    <mergeCell ref="B2:B3"/>
    <mergeCell ref="G6:H6"/>
    <mergeCell ref="B7:L7"/>
    <mergeCell ref="B8:B10"/>
    <mergeCell ref="C8:C10"/>
    <mergeCell ref="D8:D10"/>
    <mergeCell ref="E8:E10"/>
    <mergeCell ref="F8:F10"/>
    <mergeCell ref="K8:K10"/>
    <mergeCell ref="L8:L10"/>
    <mergeCell ref="L11:L14"/>
    <mergeCell ref="B15:B17"/>
    <mergeCell ref="C15:C17"/>
    <mergeCell ref="D15:D17"/>
  </mergeCells>
  <phoneticPr fontId="19" type="noConversion"/>
  <conditionalFormatting sqref="K8:K29">
    <cfRule type="cellIs" dxfId="38" priority="1" operator="equal">
      <formula>"Block"</formula>
    </cfRule>
    <cfRule type="cellIs" dxfId="37" priority="2" operator="equal">
      <formula>"."</formula>
    </cfRule>
    <cfRule type="cellIs" dxfId="36" priority="3" operator="equal">
      <formula>1</formula>
    </cfRule>
    <cfRule type="cellIs" dxfId="35" priority="4" operator="equal">
      <formula>0</formula>
    </cfRule>
  </conditionalFormatting>
  <pageMargins left="0.7" right="0.7" top="0.75" bottom="0.75" header="0.3" footer="0.3"/>
  <pageSetup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FE49-7162-4172-88F2-5A7787AD5240}">
  <dimension ref="B1:R45"/>
  <sheetViews>
    <sheetView topLeftCell="A14" zoomScale="75" zoomScaleNormal="75" workbookViewId="0">
      <selection activeCell="B40" sqref="B40:L40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2.1796875" style="33" bestFit="1" customWidth="1"/>
    <col min="4" max="4" width="11.81640625" style="33" customWidth="1"/>
    <col min="5" max="5" width="32" style="33" customWidth="1"/>
    <col min="6" max="6" width="27.7265625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7" width="23.54296875" style="4" customWidth="1"/>
    <col min="18" max="16384" width="9.1796875" style="4"/>
  </cols>
  <sheetData>
    <row r="1" spans="2:18">
      <c r="O1" s="5"/>
    </row>
    <row r="2" spans="2:18" ht="21.75" customHeight="1">
      <c r="B2" s="276">
        <f>SUM(O3:O5)/O7</f>
        <v>0</v>
      </c>
      <c r="C2" s="47"/>
      <c r="D2" s="47"/>
      <c r="E2" s="47"/>
      <c r="F2" s="47"/>
      <c r="G2" s="60"/>
      <c r="H2" s="24" t="s">
        <v>40</v>
      </c>
      <c r="I2" s="63" t="str">
        <f>[1]Cover!B3</f>
        <v xml:space="preserve">Project Name </v>
      </c>
      <c r="J2" s="37"/>
      <c r="K2" s="16"/>
      <c r="L2" s="15"/>
      <c r="N2" s="56" t="s">
        <v>41</v>
      </c>
      <c r="O2" s="55">
        <f>SUM(O3:O5)/O7</f>
        <v>0</v>
      </c>
      <c r="Q2" s="84" t="s">
        <v>42</v>
      </c>
    </row>
    <row r="3" spans="2:18" ht="23.5">
      <c r="B3" s="277"/>
      <c r="C3" s="48"/>
      <c r="D3" s="48"/>
      <c r="E3" s="48"/>
      <c r="F3" s="48"/>
      <c r="G3" s="61"/>
      <c r="H3" s="23" t="s">
        <v>43</v>
      </c>
      <c r="I3" s="59" t="str">
        <f>[1]Cover!B11</f>
        <v>TC01 Login</v>
      </c>
      <c r="J3" s="38"/>
      <c r="K3" s="12"/>
      <c r="L3" s="13"/>
      <c r="N3" s="57" t="s">
        <v>44</v>
      </c>
      <c r="O3" s="58">
        <f>COUNTIF(K7:K40,1)</f>
        <v>0</v>
      </c>
      <c r="Q3" s="84" t="s">
        <v>45</v>
      </c>
      <c r="R3" s="85">
        <f>COUNTIF(D8:D30,"Positive")</f>
        <v>5</v>
      </c>
    </row>
    <row r="4" spans="2:18">
      <c r="B4" s="30" t="s">
        <v>46</v>
      </c>
      <c r="C4" s="49"/>
      <c r="D4" s="49"/>
      <c r="E4" s="49"/>
      <c r="F4" s="49"/>
      <c r="G4" s="62"/>
      <c r="H4" s="23" t="s">
        <v>47</v>
      </c>
      <c r="I4" s="50" t="s">
        <v>48</v>
      </c>
      <c r="J4" s="38"/>
      <c r="K4" s="12"/>
      <c r="L4" s="13"/>
      <c r="M4" s="22"/>
      <c r="N4" s="17" t="s">
        <v>49</v>
      </c>
      <c r="O4" s="18">
        <f>COUNTIF(K7:K40,0)</f>
        <v>0</v>
      </c>
      <c r="P4" s="5"/>
      <c r="Q4" s="84" t="s">
        <v>50</v>
      </c>
      <c r="R4" s="85">
        <f>COUNTIF(D9:D30,"Negative")</f>
        <v>1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COUNTIF(K9:K42,"Block")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60</v>
      </c>
      <c r="N6" s="19" t="s">
        <v>61</v>
      </c>
      <c r="O6" s="20">
        <f>COUNTIF(K7:K40,".")</f>
        <v>9</v>
      </c>
    </row>
    <row r="7" spans="2:18">
      <c r="B7" s="280" t="s">
        <v>62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N7" s="21" t="s">
        <v>63</v>
      </c>
      <c r="O7" s="21">
        <f>SUM(O3:O6)</f>
        <v>9</v>
      </c>
    </row>
    <row r="8" spans="2:18" ht="15" customHeight="1">
      <c r="B8" s="268" t="s">
        <v>64</v>
      </c>
      <c r="C8" s="269" t="s">
        <v>556</v>
      </c>
      <c r="D8" s="269" t="s">
        <v>66</v>
      </c>
      <c r="E8" s="269" t="s">
        <v>67</v>
      </c>
      <c r="F8" s="269" t="s">
        <v>68</v>
      </c>
      <c r="G8" s="125" t="s">
        <v>69</v>
      </c>
      <c r="H8" s="68" t="s">
        <v>70</v>
      </c>
      <c r="I8" s="69" t="s">
        <v>71</v>
      </c>
      <c r="J8" s="86"/>
      <c r="K8" s="281" t="s">
        <v>633</v>
      </c>
      <c r="L8" s="265"/>
    </row>
    <row r="9" spans="2:18">
      <c r="B9" s="268"/>
      <c r="C9" s="269"/>
      <c r="D9" s="269"/>
      <c r="E9" s="269"/>
      <c r="F9" s="269"/>
      <c r="G9" s="125" t="s">
        <v>72</v>
      </c>
      <c r="H9" s="68" t="s">
        <v>73</v>
      </c>
      <c r="I9" s="69" t="s">
        <v>74</v>
      </c>
      <c r="J9" s="86"/>
      <c r="K9" s="281"/>
      <c r="L9" s="265"/>
    </row>
    <row r="10" spans="2:18">
      <c r="B10" s="268"/>
      <c r="C10" s="269"/>
      <c r="D10" s="269"/>
      <c r="E10" s="269"/>
      <c r="F10" s="269"/>
      <c r="G10" s="125" t="s">
        <v>75</v>
      </c>
      <c r="H10" s="68" t="s">
        <v>76</v>
      </c>
      <c r="I10" s="69"/>
      <c r="J10" s="86"/>
      <c r="K10" s="281"/>
      <c r="L10" s="265"/>
    </row>
    <row r="11" spans="2:18" ht="15" customHeight="1">
      <c r="B11" s="268" t="s">
        <v>77</v>
      </c>
      <c r="C11" s="275" t="s">
        <v>557</v>
      </c>
      <c r="D11" s="269" t="s">
        <v>66</v>
      </c>
      <c r="E11" s="269" t="s">
        <v>67</v>
      </c>
      <c r="F11" s="269"/>
      <c r="G11" s="125" t="s">
        <v>69</v>
      </c>
      <c r="H11" s="126" t="s">
        <v>79</v>
      </c>
      <c r="I11" s="127" t="s">
        <v>80</v>
      </c>
      <c r="J11" s="86"/>
      <c r="K11" s="281" t="s">
        <v>633</v>
      </c>
      <c r="L11" s="265"/>
    </row>
    <row r="12" spans="2:18">
      <c r="B12" s="268"/>
      <c r="C12" s="275"/>
      <c r="D12" s="269"/>
      <c r="E12" s="269"/>
      <c r="F12" s="269"/>
      <c r="G12" s="125" t="s">
        <v>72</v>
      </c>
      <c r="H12" s="126" t="s">
        <v>82</v>
      </c>
      <c r="I12" s="127" t="s">
        <v>83</v>
      </c>
      <c r="J12" s="86"/>
      <c r="K12" s="281"/>
      <c r="L12" s="265"/>
    </row>
    <row r="13" spans="2:18">
      <c r="B13" s="268"/>
      <c r="C13" s="275"/>
      <c r="D13" s="269"/>
      <c r="E13" s="269"/>
      <c r="F13" s="269"/>
      <c r="G13" s="125" t="s">
        <v>84</v>
      </c>
      <c r="H13" s="126" t="s">
        <v>85</v>
      </c>
      <c r="I13" s="127" t="s">
        <v>83</v>
      </c>
      <c r="J13" s="86"/>
      <c r="K13" s="281"/>
      <c r="L13" s="265"/>
    </row>
    <row r="14" spans="2:18">
      <c r="B14" s="268"/>
      <c r="C14" s="275"/>
      <c r="D14" s="269"/>
      <c r="E14" s="269"/>
      <c r="F14" s="269"/>
      <c r="G14" s="125" t="s">
        <v>75</v>
      </c>
      <c r="H14" s="126" t="s">
        <v>86</v>
      </c>
      <c r="I14" s="127" t="s">
        <v>87</v>
      </c>
      <c r="J14" s="123"/>
      <c r="K14" s="281"/>
      <c r="L14" s="265"/>
    </row>
    <row r="15" spans="2:18" ht="15" customHeight="1">
      <c r="B15" s="268" t="s">
        <v>77</v>
      </c>
      <c r="C15" s="275" t="s">
        <v>558</v>
      </c>
      <c r="D15" s="269" t="s">
        <v>66</v>
      </c>
      <c r="E15" s="269" t="s">
        <v>67</v>
      </c>
      <c r="F15" s="269"/>
      <c r="G15" s="125" t="s">
        <v>69</v>
      </c>
      <c r="H15" s="126" t="s">
        <v>79</v>
      </c>
      <c r="I15" s="127" t="s">
        <v>80</v>
      </c>
      <c r="J15" s="86"/>
      <c r="K15" s="281" t="s">
        <v>633</v>
      </c>
      <c r="L15" s="265"/>
    </row>
    <row r="16" spans="2:18">
      <c r="B16" s="268"/>
      <c r="C16" s="275"/>
      <c r="D16" s="269"/>
      <c r="E16" s="269"/>
      <c r="F16" s="269"/>
      <c r="G16" s="125" t="s">
        <v>72</v>
      </c>
      <c r="H16" s="126" t="s">
        <v>82</v>
      </c>
      <c r="I16" s="127" t="s">
        <v>83</v>
      </c>
      <c r="J16" s="86"/>
      <c r="K16" s="281"/>
      <c r="L16" s="265"/>
    </row>
    <row r="17" spans="2:12">
      <c r="B17" s="268"/>
      <c r="C17" s="275"/>
      <c r="D17" s="269"/>
      <c r="E17" s="269"/>
      <c r="F17" s="269"/>
      <c r="G17" s="125" t="s">
        <v>84</v>
      </c>
      <c r="H17" s="126" t="s">
        <v>85</v>
      </c>
      <c r="I17" s="127" t="s">
        <v>83</v>
      </c>
      <c r="J17" s="86"/>
      <c r="K17" s="281"/>
      <c r="L17" s="265"/>
    </row>
    <row r="18" spans="2:12">
      <c r="B18" s="268"/>
      <c r="C18" s="275"/>
      <c r="D18" s="269"/>
      <c r="E18" s="269"/>
      <c r="F18" s="269"/>
      <c r="G18" s="125" t="s">
        <v>75</v>
      </c>
      <c r="H18" s="126" t="s">
        <v>86</v>
      </c>
      <c r="I18" s="127" t="s">
        <v>87</v>
      </c>
      <c r="J18" s="123"/>
      <c r="K18" s="281"/>
      <c r="L18" s="265"/>
    </row>
    <row r="19" spans="2:12" ht="15" customHeight="1">
      <c r="B19" s="268" t="s">
        <v>77</v>
      </c>
      <c r="C19" s="275" t="s">
        <v>559</v>
      </c>
      <c r="D19" s="269" t="s">
        <v>66</v>
      </c>
      <c r="E19" s="269" t="s">
        <v>67</v>
      </c>
      <c r="F19" s="269"/>
      <c r="G19" s="125" t="s">
        <v>69</v>
      </c>
      <c r="H19" s="126" t="s">
        <v>79</v>
      </c>
      <c r="I19" s="127" t="s">
        <v>80</v>
      </c>
      <c r="J19" s="86"/>
      <c r="K19" s="281" t="s">
        <v>633</v>
      </c>
      <c r="L19" s="265"/>
    </row>
    <row r="20" spans="2:12">
      <c r="B20" s="268"/>
      <c r="C20" s="275"/>
      <c r="D20" s="269"/>
      <c r="E20" s="269"/>
      <c r="F20" s="269"/>
      <c r="G20" s="125" t="s">
        <v>72</v>
      </c>
      <c r="H20" s="126" t="s">
        <v>82</v>
      </c>
      <c r="I20" s="127" t="s">
        <v>83</v>
      </c>
      <c r="J20" s="86"/>
      <c r="K20" s="281"/>
      <c r="L20" s="265"/>
    </row>
    <row r="21" spans="2:12">
      <c r="B21" s="268"/>
      <c r="C21" s="275"/>
      <c r="D21" s="269"/>
      <c r="E21" s="269"/>
      <c r="F21" s="269"/>
      <c r="G21" s="125" t="s">
        <v>84</v>
      </c>
      <c r="H21" s="126" t="s">
        <v>85</v>
      </c>
      <c r="I21" s="127" t="s">
        <v>83</v>
      </c>
      <c r="J21" s="86"/>
      <c r="K21" s="281"/>
      <c r="L21" s="265"/>
    </row>
    <row r="22" spans="2:12">
      <c r="B22" s="268"/>
      <c r="C22" s="275"/>
      <c r="D22" s="269"/>
      <c r="E22" s="269"/>
      <c r="F22" s="269"/>
      <c r="G22" s="125" t="s">
        <v>75</v>
      </c>
      <c r="H22" s="126" t="s">
        <v>86</v>
      </c>
      <c r="I22" s="127" t="s">
        <v>87</v>
      </c>
      <c r="J22" s="123"/>
      <c r="K22" s="281"/>
      <c r="L22" s="265"/>
    </row>
    <row r="23" spans="2:12" ht="15" customHeight="1">
      <c r="B23" s="268" t="s">
        <v>77</v>
      </c>
      <c r="C23" s="275" t="s">
        <v>560</v>
      </c>
      <c r="D23" s="269" t="s">
        <v>66</v>
      </c>
      <c r="E23" s="269" t="s">
        <v>67</v>
      </c>
      <c r="F23" s="269"/>
      <c r="G23" s="125" t="s">
        <v>69</v>
      </c>
      <c r="H23" s="126" t="s">
        <v>79</v>
      </c>
      <c r="I23" s="127" t="s">
        <v>80</v>
      </c>
      <c r="J23" s="86"/>
      <c r="K23" s="281" t="s">
        <v>633</v>
      </c>
      <c r="L23" s="265" t="s">
        <v>561</v>
      </c>
    </row>
    <row r="24" spans="2:12">
      <c r="B24" s="268"/>
      <c r="C24" s="275"/>
      <c r="D24" s="269"/>
      <c r="E24" s="269"/>
      <c r="F24" s="269"/>
      <c r="G24" s="125" t="s">
        <v>72</v>
      </c>
      <c r="H24" s="126" t="s">
        <v>82</v>
      </c>
      <c r="I24" s="127" t="s">
        <v>83</v>
      </c>
      <c r="J24" s="86"/>
      <c r="K24" s="281"/>
      <c r="L24" s="265"/>
    </row>
    <row r="25" spans="2:12">
      <c r="B25" s="268"/>
      <c r="C25" s="275"/>
      <c r="D25" s="269"/>
      <c r="E25" s="269"/>
      <c r="F25" s="269"/>
      <c r="G25" s="125" t="s">
        <v>84</v>
      </c>
      <c r="H25" s="126" t="s">
        <v>85</v>
      </c>
      <c r="I25" s="127" t="s">
        <v>83</v>
      </c>
      <c r="J25" s="86"/>
      <c r="K25" s="281"/>
      <c r="L25" s="265"/>
    </row>
    <row r="26" spans="2:12">
      <c r="B26" s="268"/>
      <c r="C26" s="275"/>
      <c r="D26" s="269"/>
      <c r="E26" s="269"/>
      <c r="F26" s="269"/>
      <c r="G26" s="125" t="s">
        <v>75</v>
      </c>
      <c r="H26" s="126" t="s">
        <v>86</v>
      </c>
      <c r="I26" s="127" t="s">
        <v>87</v>
      </c>
      <c r="J26" s="123"/>
      <c r="K26" s="281"/>
      <c r="L26" s="265"/>
    </row>
    <row r="27" spans="2:12">
      <c r="B27" s="274" t="s">
        <v>88</v>
      </c>
      <c r="C27" s="274"/>
      <c r="D27" s="274"/>
      <c r="E27" s="274"/>
      <c r="F27" s="274"/>
      <c r="G27" s="274"/>
      <c r="H27" s="274"/>
      <c r="I27" s="274"/>
      <c r="J27" s="274"/>
      <c r="K27" s="274"/>
      <c r="L27" s="274"/>
    </row>
    <row r="28" spans="2:12">
      <c r="B28" s="268" t="s">
        <v>89</v>
      </c>
      <c r="C28" s="268" t="s">
        <v>562</v>
      </c>
      <c r="D28" s="268" t="s">
        <v>91</v>
      </c>
      <c r="E28" s="269" t="s">
        <v>67</v>
      </c>
      <c r="F28" s="117" t="s">
        <v>563</v>
      </c>
      <c r="G28" s="125" t="s">
        <v>69</v>
      </c>
      <c r="H28" s="68" t="s">
        <v>101</v>
      </c>
      <c r="I28" s="69" t="s">
        <v>102</v>
      </c>
      <c r="J28" s="134"/>
      <c r="K28" s="281" t="s">
        <v>633</v>
      </c>
      <c r="L28" s="265"/>
    </row>
    <row r="29" spans="2:12" ht="29">
      <c r="B29" s="268"/>
      <c r="C29" s="268"/>
      <c r="D29" s="268"/>
      <c r="E29" s="269"/>
      <c r="F29" s="117" t="s">
        <v>564</v>
      </c>
      <c r="G29" s="125" t="s">
        <v>72</v>
      </c>
      <c r="H29" s="68" t="s">
        <v>103</v>
      </c>
      <c r="I29" s="69" t="s">
        <v>104</v>
      </c>
      <c r="J29" s="86"/>
      <c r="K29" s="281"/>
      <c r="L29" s="265"/>
    </row>
    <row r="30" spans="2:12">
      <c r="B30" s="268"/>
      <c r="C30" s="268"/>
      <c r="D30" s="268"/>
      <c r="E30" s="269"/>
      <c r="F30" s="133"/>
      <c r="G30" s="125" t="s">
        <v>84</v>
      </c>
      <c r="H30" s="68" t="s">
        <v>76</v>
      </c>
      <c r="I30" s="135"/>
      <c r="J30" s="86"/>
      <c r="K30" s="281"/>
      <c r="L30" s="265"/>
    </row>
    <row r="31" spans="2:12" ht="12" customHeight="1">
      <c r="B31" s="268" t="s">
        <v>94</v>
      </c>
      <c r="C31" s="268" t="s">
        <v>565</v>
      </c>
      <c r="D31" s="268" t="s">
        <v>91</v>
      </c>
      <c r="E31" s="269" t="s">
        <v>67</v>
      </c>
      <c r="F31" s="117" t="s">
        <v>566</v>
      </c>
      <c r="G31" s="125" t="s">
        <v>69</v>
      </c>
      <c r="H31" s="68" t="s">
        <v>101</v>
      </c>
      <c r="I31" s="69" t="s">
        <v>102</v>
      </c>
      <c r="J31" s="72"/>
      <c r="K31" s="264" t="s">
        <v>633</v>
      </c>
      <c r="L31" s="265" t="s">
        <v>567</v>
      </c>
    </row>
    <row r="32" spans="2:12" ht="29">
      <c r="B32" s="268"/>
      <c r="C32" s="268"/>
      <c r="D32" s="268"/>
      <c r="E32" s="269"/>
      <c r="F32" s="117" t="s">
        <v>20</v>
      </c>
      <c r="G32" s="125" t="s">
        <v>72</v>
      </c>
      <c r="H32" s="68" t="s">
        <v>103</v>
      </c>
      <c r="I32" s="69" t="s">
        <v>104</v>
      </c>
      <c r="J32" s="72"/>
      <c r="K32" s="264"/>
      <c r="L32" s="265"/>
    </row>
    <row r="33" spans="2:12">
      <c r="B33" s="268"/>
      <c r="C33" s="268"/>
      <c r="D33" s="268"/>
      <c r="E33" s="269"/>
      <c r="F33" s="133"/>
      <c r="G33" s="125" t="s">
        <v>84</v>
      </c>
      <c r="H33" s="68" t="s">
        <v>76</v>
      </c>
      <c r="I33" s="135"/>
      <c r="J33" s="72"/>
      <c r="K33" s="264"/>
      <c r="L33" s="265"/>
    </row>
    <row r="34" spans="2:12" ht="12" customHeight="1">
      <c r="B34" s="268" t="s">
        <v>94</v>
      </c>
      <c r="C34" s="268" t="s">
        <v>568</v>
      </c>
      <c r="D34" s="268" t="s">
        <v>91</v>
      </c>
      <c r="E34" s="269" t="s">
        <v>67</v>
      </c>
      <c r="F34" s="117" t="s">
        <v>566</v>
      </c>
      <c r="G34" s="125" t="s">
        <v>69</v>
      </c>
      <c r="H34" s="68" t="s">
        <v>101</v>
      </c>
      <c r="I34" s="69" t="s">
        <v>102</v>
      </c>
      <c r="J34" s="72"/>
      <c r="K34" s="264" t="s">
        <v>633</v>
      </c>
      <c r="L34" s="265"/>
    </row>
    <row r="35" spans="2:12" ht="29">
      <c r="B35" s="268"/>
      <c r="C35" s="268"/>
      <c r="D35" s="268"/>
      <c r="E35" s="269"/>
      <c r="F35" s="117" t="s">
        <v>20</v>
      </c>
      <c r="G35" s="125" t="s">
        <v>72</v>
      </c>
      <c r="H35" s="68" t="s">
        <v>103</v>
      </c>
      <c r="I35" s="69" t="s">
        <v>104</v>
      </c>
      <c r="J35" s="72"/>
      <c r="K35" s="264"/>
      <c r="L35" s="265"/>
    </row>
    <row r="36" spans="2:12">
      <c r="B36" s="268"/>
      <c r="C36" s="268"/>
      <c r="D36" s="268"/>
      <c r="E36" s="269"/>
      <c r="F36" s="133"/>
      <c r="G36" s="125" t="s">
        <v>84</v>
      </c>
      <c r="H36" s="68" t="s">
        <v>76</v>
      </c>
      <c r="I36" s="135"/>
      <c r="J36" s="72"/>
      <c r="K36" s="264"/>
      <c r="L36" s="265"/>
    </row>
    <row r="37" spans="2:12" ht="12" customHeight="1">
      <c r="B37" s="268" t="s">
        <v>94</v>
      </c>
      <c r="C37" s="268" t="s">
        <v>569</v>
      </c>
      <c r="D37" s="268" t="s">
        <v>91</v>
      </c>
      <c r="E37" s="269" t="s">
        <v>67</v>
      </c>
      <c r="F37" s="117" t="s">
        <v>566</v>
      </c>
      <c r="G37" s="125" t="s">
        <v>69</v>
      </c>
      <c r="H37" s="68" t="s">
        <v>101</v>
      </c>
      <c r="I37" s="69" t="s">
        <v>102</v>
      </c>
      <c r="J37" s="72"/>
      <c r="K37" s="264" t="s">
        <v>633</v>
      </c>
      <c r="L37" s="265"/>
    </row>
    <row r="38" spans="2:12" ht="29">
      <c r="B38" s="268"/>
      <c r="C38" s="268"/>
      <c r="D38" s="268"/>
      <c r="E38" s="269"/>
      <c r="F38" s="117" t="s">
        <v>20</v>
      </c>
      <c r="G38" s="125" t="s">
        <v>72</v>
      </c>
      <c r="H38" s="68" t="s">
        <v>103</v>
      </c>
      <c r="I38" s="69" t="s">
        <v>104</v>
      </c>
      <c r="J38" s="72"/>
      <c r="K38" s="264"/>
      <c r="L38" s="265"/>
    </row>
    <row r="39" spans="2:12">
      <c r="B39" s="268"/>
      <c r="C39" s="268"/>
      <c r="D39" s="268"/>
      <c r="E39" s="269"/>
      <c r="F39" s="133"/>
      <c r="G39" s="125" t="s">
        <v>84</v>
      </c>
      <c r="H39" s="68" t="s">
        <v>76</v>
      </c>
      <c r="I39" s="135"/>
      <c r="J39" s="72"/>
      <c r="K39" s="264"/>
      <c r="L39" s="265"/>
    </row>
    <row r="40" spans="2:12">
      <c r="B40" s="282" t="s">
        <v>69</v>
      </c>
      <c r="C40" s="282"/>
      <c r="D40" s="282"/>
      <c r="E40" s="282"/>
      <c r="F40" s="282"/>
      <c r="G40" s="282"/>
      <c r="H40" s="282"/>
      <c r="I40" s="282"/>
      <c r="J40" s="282"/>
      <c r="K40" s="282"/>
      <c r="L40" s="282"/>
    </row>
    <row r="41" spans="2:12">
      <c r="K41" s="4"/>
    </row>
    <row r="42" spans="2:12">
      <c r="K42" s="4"/>
    </row>
    <row r="43" spans="2:12">
      <c r="K43" s="4"/>
    </row>
    <row r="44" spans="2:12">
      <c r="K44" s="4"/>
    </row>
    <row r="45" spans="2:12">
      <c r="K45" s="4"/>
    </row>
  </sheetData>
  <mergeCells count="64">
    <mergeCell ref="B2:B3"/>
    <mergeCell ref="G6:H6"/>
    <mergeCell ref="B7:L7"/>
    <mergeCell ref="B8:B10"/>
    <mergeCell ref="C8:C10"/>
    <mergeCell ref="D8:D10"/>
    <mergeCell ref="E8:E10"/>
    <mergeCell ref="F8:F10"/>
    <mergeCell ref="K8:K10"/>
    <mergeCell ref="L8:L10"/>
    <mergeCell ref="L11:L14"/>
    <mergeCell ref="B27:L27"/>
    <mergeCell ref="B28:B30"/>
    <mergeCell ref="C28:C30"/>
    <mergeCell ref="D28:D30"/>
    <mergeCell ref="E28:E30"/>
    <mergeCell ref="K28:K30"/>
    <mergeCell ref="L28:L30"/>
    <mergeCell ref="B15:B18"/>
    <mergeCell ref="C15:C18"/>
    <mergeCell ref="B11:B14"/>
    <mergeCell ref="C11:C14"/>
    <mergeCell ref="D11:D14"/>
    <mergeCell ref="E11:E14"/>
    <mergeCell ref="F11:F14"/>
    <mergeCell ref="K11:K14"/>
    <mergeCell ref="B40:L40"/>
    <mergeCell ref="B23:B26"/>
    <mergeCell ref="C23:C26"/>
    <mergeCell ref="D23:D26"/>
    <mergeCell ref="E23:E26"/>
    <mergeCell ref="F23:F26"/>
    <mergeCell ref="K23:K26"/>
    <mergeCell ref="L23:L26"/>
    <mergeCell ref="B37:B39"/>
    <mergeCell ref="C37:C39"/>
    <mergeCell ref="D37:D39"/>
    <mergeCell ref="E37:E39"/>
    <mergeCell ref="K37:K39"/>
    <mergeCell ref="L37:L39"/>
    <mergeCell ref="B31:B33"/>
    <mergeCell ref="C31:C33"/>
    <mergeCell ref="B19:B22"/>
    <mergeCell ref="C19:C22"/>
    <mergeCell ref="D19:D22"/>
    <mergeCell ref="E19:E22"/>
    <mergeCell ref="F19:F22"/>
    <mergeCell ref="K19:K22"/>
    <mergeCell ref="L19:L22"/>
    <mergeCell ref="D15:D18"/>
    <mergeCell ref="E15:E18"/>
    <mergeCell ref="F15:F18"/>
    <mergeCell ref="K15:K18"/>
    <mergeCell ref="L15:L18"/>
    <mergeCell ref="D31:D33"/>
    <mergeCell ref="E31:E33"/>
    <mergeCell ref="K31:K33"/>
    <mergeCell ref="L31:L33"/>
    <mergeCell ref="B34:B36"/>
    <mergeCell ref="C34:C36"/>
    <mergeCell ref="D34:D36"/>
    <mergeCell ref="E34:E36"/>
    <mergeCell ref="K34:K36"/>
    <mergeCell ref="L34:L36"/>
  </mergeCells>
  <conditionalFormatting sqref="K8:K26 K28:K39">
    <cfRule type="cellIs" dxfId="34" priority="1" operator="equal">
      <formula>"Block"</formula>
    </cfRule>
    <cfRule type="cellIs" dxfId="33" priority="2" operator="equal">
      <formula>"."</formula>
    </cfRule>
    <cfRule type="cellIs" dxfId="32" priority="3" operator="equal">
      <formula>1</formula>
    </cfRule>
    <cfRule type="cellIs" dxfId="31" priority="4" operator="equal">
      <formula>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61DD-2A3F-40A7-8FAD-7941747AE1D3}">
  <dimension ref="B1:R47"/>
  <sheetViews>
    <sheetView topLeftCell="C22" zoomScale="70" zoomScaleNormal="70" workbookViewId="0">
      <selection activeCell="L44" sqref="L44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3" width="42.1796875" style="33" bestFit="1" customWidth="1"/>
    <col min="4" max="4" width="11.81640625" style="33" customWidth="1"/>
    <col min="5" max="5" width="32" style="33" customWidth="1"/>
    <col min="6" max="6" width="27.7265625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7" width="23.54296875" style="4" customWidth="1"/>
    <col min="18" max="16384" width="9.1796875" style="4"/>
  </cols>
  <sheetData>
    <row r="1" spans="2:18">
      <c r="O1" s="5"/>
    </row>
    <row r="2" spans="2:18" ht="21.75" customHeight="1">
      <c r="B2" s="276">
        <f>SUM(O3:O5)/O7</f>
        <v>0</v>
      </c>
      <c r="C2" s="47"/>
      <c r="D2" s="47"/>
      <c r="E2" s="47"/>
      <c r="F2" s="47"/>
      <c r="G2" s="60"/>
      <c r="H2" s="24" t="s">
        <v>40</v>
      </c>
      <c r="I2" s="63" t="str">
        <f>[1]Cover!B3</f>
        <v xml:space="preserve">Project Name </v>
      </c>
      <c r="J2" s="37"/>
      <c r="K2" s="16"/>
      <c r="L2" s="15"/>
      <c r="N2" s="56" t="s">
        <v>41</v>
      </c>
      <c r="O2" s="55">
        <f>SUM(O3:O5)/O7</f>
        <v>0</v>
      </c>
      <c r="Q2" s="84" t="s">
        <v>42</v>
      </c>
    </row>
    <row r="3" spans="2:18" ht="23.5">
      <c r="B3" s="277"/>
      <c r="C3" s="48"/>
      <c r="D3" s="48"/>
      <c r="E3" s="48"/>
      <c r="F3" s="48"/>
      <c r="G3" s="61"/>
      <c r="H3" s="23" t="s">
        <v>43</v>
      </c>
      <c r="I3" s="59" t="str">
        <f>[1]Cover!B11</f>
        <v>TC01 Login</v>
      </c>
      <c r="J3" s="38"/>
      <c r="K3" s="12"/>
      <c r="L3" s="13"/>
      <c r="N3" s="57" t="s">
        <v>44</v>
      </c>
      <c r="O3" s="58">
        <f>COUNTIF(K7:K42,1)</f>
        <v>0</v>
      </c>
      <c r="Q3" s="84" t="s">
        <v>45</v>
      </c>
      <c r="R3" s="85">
        <f>COUNTIF(D8:D38,"Positive")</f>
        <v>7</v>
      </c>
    </row>
    <row r="4" spans="2:18">
      <c r="B4" s="30" t="s">
        <v>46</v>
      </c>
      <c r="C4" s="49"/>
      <c r="D4" s="49"/>
      <c r="E4" s="49"/>
      <c r="F4" s="49"/>
      <c r="G4" s="62"/>
      <c r="H4" s="23" t="s">
        <v>47</v>
      </c>
      <c r="I4" s="50" t="s">
        <v>48</v>
      </c>
      <c r="J4" s="38"/>
      <c r="K4" s="12"/>
      <c r="L4" s="13"/>
      <c r="M4" s="22"/>
      <c r="N4" s="17" t="s">
        <v>49</v>
      </c>
      <c r="O4" s="18">
        <f>COUNTIF(K7:K42,0)</f>
        <v>0</v>
      </c>
      <c r="P4" s="5"/>
      <c r="Q4" s="84" t="s">
        <v>50</v>
      </c>
      <c r="R4" s="85">
        <f>COUNTIF(D9:D38,"Negative")</f>
        <v>1</v>
      </c>
    </row>
    <row r="5" spans="2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COUNTIF(K9:K44,"Block")</f>
        <v>0</v>
      </c>
    </row>
    <row r="6" spans="2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9"/>
      <c r="I6" s="32" t="s">
        <v>57</v>
      </c>
      <c r="J6" s="32" t="s">
        <v>58</v>
      </c>
      <c r="K6" s="6" t="s">
        <v>59</v>
      </c>
      <c r="L6" s="6" t="s">
        <v>60</v>
      </c>
      <c r="N6" s="19" t="s">
        <v>61</v>
      </c>
      <c r="O6" s="20">
        <f>COUNTIF(K7:K42,".")</f>
        <v>9</v>
      </c>
    </row>
    <row r="7" spans="2:18">
      <c r="B7" s="280" t="s">
        <v>62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N7" s="21" t="s">
        <v>63</v>
      </c>
      <c r="O7" s="21">
        <f>SUM(O3:O6)</f>
        <v>9</v>
      </c>
    </row>
    <row r="8" spans="2:18" ht="15" customHeight="1">
      <c r="B8" s="268" t="s">
        <v>64</v>
      </c>
      <c r="C8" s="269" t="s">
        <v>570</v>
      </c>
      <c r="D8" s="269" t="s">
        <v>66</v>
      </c>
      <c r="E8" s="269" t="s">
        <v>67</v>
      </c>
      <c r="F8" s="269" t="s">
        <v>68</v>
      </c>
      <c r="G8" s="125" t="s">
        <v>69</v>
      </c>
      <c r="H8" s="68" t="s">
        <v>70</v>
      </c>
      <c r="I8" s="69" t="s">
        <v>71</v>
      </c>
      <c r="J8" s="86"/>
      <c r="K8" s="281" t="s">
        <v>633</v>
      </c>
      <c r="L8" s="265"/>
    </row>
    <row r="9" spans="2:18">
      <c r="B9" s="268"/>
      <c r="C9" s="269"/>
      <c r="D9" s="269"/>
      <c r="E9" s="269"/>
      <c r="F9" s="269"/>
      <c r="G9" s="125" t="s">
        <v>72</v>
      </c>
      <c r="H9" s="68" t="s">
        <v>73</v>
      </c>
      <c r="I9" s="69" t="s">
        <v>74</v>
      </c>
      <c r="J9" s="86"/>
      <c r="K9" s="281"/>
      <c r="L9" s="265"/>
    </row>
    <row r="10" spans="2:18">
      <c r="B10" s="268"/>
      <c r="C10" s="269"/>
      <c r="D10" s="269"/>
      <c r="E10" s="269"/>
      <c r="F10" s="269"/>
      <c r="G10" s="125" t="s">
        <v>75</v>
      </c>
      <c r="H10" s="68" t="s">
        <v>76</v>
      </c>
      <c r="I10" s="69"/>
      <c r="J10" s="86"/>
      <c r="K10" s="281"/>
      <c r="L10" s="265"/>
    </row>
    <row r="11" spans="2:18" ht="15" customHeight="1">
      <c r="B11" s="268" t="s">
        <v>77</v>
      </c>
      <c r="C11" s="275" t="s">
        <v>571</v>
      </c>
      <c r="D11" s="269" t="s">
        <v>66</v>
      </c>
      <c r="E11" s="269" t="s">
        <v>67</v>
      </c>
      <c r="F11" s="269"/>
      <c r="G11" s="125" t="s">
        <v>69</v>
      </c>
      <c r="H11" s="126" t="s">
        <v>79</v>
      </c>
      <c r="I11" s="127" t="s">
        <v>80</v>
      </c>
      <c r="J11" s="86"/>
      <c r="K11" s="281" t="s">
        <v>633</v>
      </c>
      <c r="L11" s="265"/>
    </row>
    <row r="12" spans="2:18">
      <c r="B12" s="268"/>
      <c r="C12" s="275"/>
      <c r="D12" s="269"/>
      <c r="E12" s="269"/>
      <c r="F12" s="269"/>
      <c r="G12" s="125" t="s">
        <v>72</v>
      </c>
      <c r="H12" s="126" t="s">
        <v>82</v>
      </c>
      <c r="I12" s="127" t="s">
        <v>83</v>
      </c>
      <c r="J12" s="86"/>
      <c r="K12" s="281"/>
      <c r="L12" s="265"/>
    </row>
    <row r="13" spans="2:18">
      <c r="B13" s="268"/>
      <c r="C13" s="275"/>
      <c r="D13" s="269"/>
      <c r="E13" s="269"/>
      <c r="F13" s="269"/>
      <c r="G13" s="125" t="s">
        <v>84</v>
      </c>
      <c r="H13" s="126" t="s">
        <v>85</v>
      </c>
      <c r="I13" s="127" t="s">
        <v>83</v>
      </c>
      <c r="J13" s="86"/>
      <c r="K13" s="281"/>
      <c r="L13" s="265"/>
    </row>
    <row r="14" spans="2:18">
      <c r="B14" s="268"/>
      <c r="C14" s="275"/>
      <c r="D14" s="269"/>
      <c r="E14" s="269"/>
      <c r="F14" s="269"/>
      <c r="G14" s="125" t="s">
        <v>75</v>
      </c>
      <c r="H14" s="126" t="s">
        <v>86</v>
      </c>
      <c r="I14" s="127" t="s">
        <v>87</v>
      </c>
      <c r="J14" s="123"/>
      <c r="K14" s="281"/>
      <c r="L14" s="265"/>
    </row>
    <row r="15" spans="2:18" ht="15" customHeight="1">
      <c r="B15" s="268" t="s">
        <v>77</v>
      </c>
      <c r="C15" s="275" t="s">
        <v>572</v>
      </c>
      <c r="D15" s="269" t="s">
        <v>66</v>
      </c>
      <c r="E15" s="269" t="s">
        <v>67</v>
      </c>
      <c r="F15" s="269"/>
      <c r="G15" s="125" t="s">
        <v>69</v>
      </c>
      <c r="H15" s="126" t="s">
        <v>79</v>
      </c>
      <c r="I15" s="127" t="s">
        <v>80</v>
      </c>
      <c r="J15" s="86"/>
      <c r="K15" s="281" t="s">
        <v>633</v>
      </c>
      <c r="L15" s="265"/>
    </row>
    <row r="16" spans="2:18">
      <c r="B16" s="268"/>
      <c r="C16" s="275"/>
      <c r="D16" s="269"/>
      <c r="E16" s="269"/>
      <c r="F16" s="269"/>
      <c r="G16" s="125" t="s">
        <v>72</v>
      </c>
      <c r="H16" s="126" t="s">
        <v>82</v>
      </c>
      <c r="I16" s="127" t="s">
        <v>83</v>
      </c>
      <c r="J16" s="86"/>
      <c r="K16" s="281"/>
      <c r="L16" s="265"/>
    </row>
    <row r="17" spans="2:12">
      <c r="B17" s="268"/>
      <c r="C17" s="275"/>
      <c r="D17" s="269"/>
      <c r="E17" s="269"/>
      <c r="F17" s="269"/>
      <c r="G17" s="125" t="s">
        <v>84</v>
      </c>
      <c r="H17" s="126" t="s">
        <v>85</v>
      </c>
      <c r="I17" s="127" t="s">
        <v>83</v>
      </c>
      <c r="J17" s="86"/>
      <c r="K17" s="281"/>
      <c r="L17" s="265"/>
    </row>
    <row r="18" spans="2:12">
      <c r="B18" s="268"/>
      <c r="C18" s="275"/>
      <c r="D18" s="269"/>
      <c r="E18" s="269"/>
      <c r="F18" s="269"/>
      <c r="G18" s="125" t="s">
        <v>75</v>
      </c>
      <c r="H18" s="126" t="s">
        <v>86</v>
      </c>
      <c r="I18" s="127" t="s">
        <v>87</v>
      </c>
      <c r="J18" s="123"/>
      <c r="K18" s="281"/>
      <c r="L18" s="265"/>
    </row>
    <row r="19" spans="2:12" ht="15" customHeight="1">
      <c r="B19" s="268" t="s">
        <v>77</v>
      </c>
      <c r="C19" s="275" t="s">
        <v>573</v>
      </c>
      <c r="D19" s="269" t="s">
        <v>66</v>
      </c>
      <c r="E19" s="269" t="s">
        <v>67</v>
      </c>
      <c r="F19" s="269"/>
      <c r="G19" s="125" t="s">
        <v>69</v>
      </c>
      <c r="H19" s="126" t="s">
        <v>79</v>
      </c>
      <c r="I19" s="127" t="s">
        <v>80</v>
      </c>
      <c r="J19" s="86"/>
      <c r="K19" s="281" t="s">
        <v>633</v>
      </c>
      <c r="L19" s="265"/>
    </row>
    <row r="20" spans="2:12">
      <c r="B20" s="268"/>
      <c r="C20" s="275"/>
      <c r="D20" s="269"/>
      <c r="E20" s="269"/>
      <c r="F20" s="269"/>
      <c r="G20" s="125" t="s">
        <v>72</v>
      </c>
      <c r="H20" s="126" t="s">
        <v>82</v>
      </c>
      <c r="I20" s="127" t="s">
        <v>83</v>
      </c>
      <c r="J20" s="86"/>
      <c r="K20" s="281"/>
      <c r="L20" s="265"/>
    </row>
    <row r="21" spans="2:12">
      <c r="B21" s="268"/>
      <c r="C21" s="275"/>
      <c r="D21" s="269"/>
      <c r="E21" s="269"/>
      <c r="F21" s="269"/>
      <c r="G21" s="125" t="s">
        <v>84</v>
      </c>
      <c r="H21" s="126" t="s">
        <v>85</v>
      </c>
      <c r="I21" s="127" t="s">
        <v>83</v>
      </c>
      <c r="J21" s="86"/>
      <c r="K21" s="281"/>
      <c r="L21" s="265"/>
    </row>
    <row r="22" spans="2:12">
      <c r="B22" s="268"/>
      <c r="C22" s="275"/>
      <c r="D22" s="269"/>
      <c r="E22" s="269"/>
      <c r="F22" s="269"/>
      <c r="G22" s="125" t="s">
        <v>75</v>
      </c>
      <c r="H22" s="126" t="s">
        <v>86</v>
      </c>
      <c r="I22" s="127" t="s">
        <v>87</v>
      </c>
      <c r="J22" s="123"/>
      <c r="K22" s="281"/>
      <c r="L22" s="265"/>
    </row>
    <row r="23" spans="2:12" ht="15" customHeight="1">
      <c r="B23" s="268" t="s">
        <v>77</v>
      </c>
      <c r="C23" s="275" t="s">
        <v>574</v>
      </c>
      <c r="D23" s="269" t="s">
        <v>66</v>
      </c>
      <c r="E23" s="269" t="s">
        <v>67</v>
      </c>
      <c r="F23" s="269"/>
      <c r="G23" s="125" t="s">
        <v>69</v>
      </c>
      <c r="H23" s="126" t="s">
        <v>79</v>
      </c>
      <c r="I23" s="127" t="s">
        <v>80</v>
      </c>
      <c r="J23" s="86"/>
      <c r="K23" s="281" t="s">
        <v>633</v>
      </c>
      <c r="L23" s="265"/>
    </row>
    <row r="24" spans="2:12">
      <c r="B24" s="268"/>
      <c r="C24" s="275"/>
      <c r="D24" s="269"/>
      <c r="E24" s="269"/>
      <c r="F24" s="269"/>
      <c r="G24" s="125" t="s">
        <v>72</v>
      </c>
      <c r="H24" s="126" t="s">
        <v>82</v>
      </c>
      <c r="I24" s="127" t="s">
        <v>83</v>
      </c>
      <c r="J24" s="86"/>
      <c r="K24" s="281"/>
      <c r="L24" s="265"/>
    </row>
    <row r="25" spans="2:12">
      <c r="B25" s="268"/>
      <c r="C25" s="275"/>
      <c r="D25" s="269"/>
      <c r="E25" s="269"/>
      <c r="F25" s="269"/>
      <c r="G25" s="125" t="s">
        <v>84</v>
      </c>
      <c r="H25" s="126" t="s">
        <v>85</v>
      </c>
      <c r="I25" s="127" t="s">
        <v>83</v>
      </c>
      <c r="J25" s="86"/>
      <c r="K25" s="281"/>
      <c r="L25" s="265"/>
    </row>
    <row r="26" spans="2:12">
      <c r="B26" s="268"/>
      <c r="C26" s="275"/>
      <c r="D26" s="269"/>
      <c r="E26" s="269"/>
      <c r="F26" s="269"/>
      <c r="G26" s="125" t="s">
        <v>75</v>
      </c>
      <c r="H26" s="126" t="s">
        <v>86</v>
      </c>
      <c r="I26" s="127" t="s">
        <v>87</v>
      </c>
      <c r="J26" s="123"/>
      <c r="K26" s="281"/>
      <c r="L26" s="265"/>
    </row>
    <row r="27" spans="2:12" ht="15" customHeight="1">
      <c r="B27" s="268" t="s">
        <v>77</v>
      </c>
      <c r="C27" s="275" t="s">
        <v>575</v>
      </c>
      <c r="D27" s="269" t="s">
        <v>66</v>
      </c>
      <c r="E27" s="269" t="s">
        <v>67</v>
      </c>
      <c r="F27" s="269"/>
      <c r="G27" s="125" t="s">
        <v>69</v>
      </c>
      <c r="H27" s="126" t="s">
        <v>79</v>
      </c>
      <c r="I27" s="127" t="s">
        <v>80</v>
      </c>
      <c r="J27" s="86"/>
      <c r="K27" s="281" t="s">
        <v>633</v>
      </c>
      <c r="L27" s="265"/>
    </row>
    <row r="28" spans="2:12">
      <c r="B28" s="268"/>
      <c r="C28" s="275"/>
      <c r="D28" s="269"/>
      <c r="E28" s="269"/>
      <c r="F28" s="269"/>
      <c r="G28" s="125" t="s">
        <v>72</v>
      </c>
      <c r="H28" s="126" t="s">
        <v>82</v>
      </c>
      <c r="I28" s="127" t="s">
        <v>83</v>
      </c>
      <c r="J28" s="86"/>
      <c r="K28" s="281"/>
      <c r="L28" s="265"/>
    </row>
    <row r="29" spans="2:12">
      <c r="B29" s="268"/>
      <c r="C29" s="275"/>
      <c r="D29" s="269"/>
      <c r="E29" s="269"/>
      <c r="F29" s="269"/>
      <c r="G29" s="125" t="s">
        <v>84</v>
      </c>
      <c r="H29" s="126" t="s">
        <v>85</v>
      </c>
      <c r="I29" s="127" t="s">
        <v>83</v>
      </c>
      <c r="J29" s="86"/>
      <c r="K29" s="281"/>
      <c r="L29" s="265"/>
    </row>
    <row r="30" spans="2:12">
      <c r="B30" s="268"/>
      <c r="C30" s="275"/>
      <c r="D30" s="269"/>
      <c r="E30" s="269"/>
      <c r="F30" s="269"/>
      <c r="G30" s="125" t="s">
        <v>75</v>
      </c>
      <c r="H30" s="126" t="s">
        <v>86</v>
      </c>
      <c r="I30" s="127" t="s">
        <v>87</v>
      </c>
      <c r="J30" s="123"/>
      <c r="K30" s="281"/>
      <c r="L30" s="265"/>
    </row>
    <row r="31" spans="2:12" ht="15" customHeight="1">
      <c r="B31" s="268" t="s">
        <v>77</v>
      </c>
      <c r="C31" s="275" t="s">
        <v>576</v>
      </c>
      <c r="D31" s="269" t="s">
        <v>66</v>
      </c>
      <c r="E31" s="269" t="s">
        <v>67</v>
      </c>
      <c r="F31" s="269"/>
      <c r="G31" s="125" t="s">
        <v>69</v>
      </c>
      <c r="H31" s="126" t="s">
        <v>79</v>
      </c>
      <c r="I31" s="127" t="s">
        <v>80</v>
      </c>
      <c r="J31" s="86"/>
      <c r="K31" s="281" t="s">
        <v>633</v>
      </c>
      <c r="L31" s="265"/>
    </row>
    <row r="32" spans="2:12">
      <c r="B32" s="268"/>
      <c r="C32" s="275"/>
      <c r="D32" s="269"/>
      <c r="E32" s="269"/>
      <c r="F32" s="269"/>
      <c r="G32" s="125" t="s">
        <v>72</v>
      </c>
      <c r="H32" s="126" t="s">
        <v>82</v>
      </c>
      <c r="I32" s="127" t="s">
        <v>83</v>
      </c>
      <c r="J32" s="86"/>
      <c r="K32" s="281"/>
      <c r="L32" s="265"/>
    </row>
    <row r="33" spans="2:12">
      <c r="B33" s="268"/>
      <c r="C33" s="275"/>
      <c r="D33" s="269"/>
      <c r="E33" s="269"/>
      <c r="F33" s="269"/>
      <c r="G33" s="125" t="s">
        <v>84</v>
      </c>
      <c r="H33" s="126" t="s">
        <v>85</v>
      </c>
      <c r="I33" s="127" t="s">
        <v>83</v>
      </c>
      <c r="J33" s="86"/>
      <c r="K33" s="281"/>
      <c r="L33" s="265"/>
    </row>
    <row r="34" spans="2:12">
      <c r="B34" s="268"/>
      <c r="C34" s="275"/>
      <c r="D34" s="269"/>
      <c r="E34" s="269"/>
      <c r="F34" s="269"/>
      <c r="G34" s="125" t="s">
        <v>75</v>
      </c>
      <c r="H34" s="126" t="s">
        <v>86</v>
      </c>
      <c r="I34" s="127" t="s">
        <v>87</v>
      </c>
      <c r="J34" s="123"/>
      <c r="K34" s="281"/>
      <c r="L34" s="265"/>
    </row>
    <row r="35" spans="2:12">
      <c r="B35" s="274" t="s">
        <v>88</v>
      </c>
      <c r="C35" s="274"/>
      <c r="D35" s="274"/>
      <c r="E35" s="274"/>
      <c r="F35" s="274"/>
      <c r="G35" s="274"/>
      <c r="H35" s="274"/>
      <c r="I35" s="274"/>
      <c r="J35" s="274"/>
      <c r="K35" s="274"/>
      <c r="L35" s="274"/>
    </row>
    <row r="36" spans="2:12">
      <c r="B36" s="268" t="s">
        <v>89</v>
      </c>
      <c r="C36" s="268" t="s">
        <v>562</v>
      </c>
      <c r="D36" s="268" t="s">
        <v>91</v>
      </c>
      <c r="E36" s="269" t="s">
        <v>67</v>
      </c>
      <c r="F36" s="117" t="s">
        <v>563</v>
      </c>
      <c r="G36" s="125" t="s">
        <v>69</v>
      </c>
      <c r="H36" s="68" t="s">
        <v>101</v>
      </c>
      <c r="I36" s="69" t="s">
        <v>102</v>
      </c>
      <c r="J36" s="134"/>
      <c r="K36" s="281" t="s">
        <v>633</v>
      </c>
      <c r="L36" s="265"/>
    </row>
    <row r="37" spans="2:12" ht="29">
      <c r="B37" s="268"/>
      <c r="C37" s="268"/>
      <c r="D37" s="268"/>
      <c r="E37" s="269"/>
      <c r="F37" s="117" t="s">
        <v>564</v>
      </c>
      <c r="G37" s="125" t="s">
        <v>72</v>
      </c>
      <c r="H37" s="68" t="s">
        <v>103</v>
      </c>
      <c r="I37" s="69" t="s">
        <v>104</v>
      </c>
      <c r="J37" s="86"/>
      <c r="K37" s="281"/>
      <c r="L37" s="265"/>
    </row>
    <row r="38" spans="2:12">
      <c r="B38" s="268"/>
      <c r="C38" s="268"/>
      <c r="D38" s="268"/>
      <c r="E38" s="269"/>
      <c r="F38" s="133"/>
      <c r="G38" s="125" t="s">
        <v>84</v>
      </c>
      <c r="H38" s="68" t="s">
        <v>76</v>
      </c>
      <c r="I38" s="135"/>
      <c r="J38" s="86"/>
      <c r="K38" s="281"/>
      <c r="L38" s="265"/>
    </row>
    <row r="39" spans="2:12">
      <c r="B39" s="268" t="s">
        <v>94</v>
      </c>
      <c r="C39" s="268" t="s">
        <v>569</v>
      </c>
      <c r="D39" s="268" t="s">
        <v>91</v>
      </c>
      <c r="E39" s="269" t="s">
        <v>67</v>
      </c>
      <c r="F39" s="117" t="s">
        <v>566</v>
      </c>
      <c r="G39" s="125" t="s">
        <v>69</v>
      </c>
      <c r="H39" s="68" t="s">
        <v>101</v>
      </c>
      <c r="I39" s="69" t="s">
        <v>102</v>
      </c>
      <c r="J39" s="72"/>
      <c r="K39" s="264" t="s">
        <v>633</v>
      </c>
      <c r="L39" s="265"/>
    </row>
    <row r="40" spans="2:12" ht="29">
      <c r="B40" s="268"/>
      <c r="C40" s="268"/>
      <c r="D40" s="268"/>
      <c r="E40" s="269"/>
      <c r="F40" s="117" t="s">
        <v>20</v>
      </c>
      <c r="G40" s="125" t="s">
        <v>72</v>
      </c>
      <c r="H40" s="68" t="s">
        <v>103</v>
      </c>
      <c r="I40" s="69" t="s">
        <v>104</v>
      </c>
      <c r="J40" s="72"/>
      <c r="K40" s="264"/>
      <c r="L40" s="265"/>
    </row>
    <row r="41" spans="2:12">
      <c r="B41" s="268"/>
      <c r="C41" s="268"/>
      <c r="D41" s="268"/>
      <c r="E41" s="269"/>
      <c r="F41" s="133"/>
      <c r="G41" s="125" t="s">
        <v>84</v>
      </c>
      <c r="H41" s="68" t="s">
        <v>76</v>
      </c>
      <c r="I41" s="135"/>
      <c r="J41" s="72"/>
      <c r="K41" s="264"/>
      <c r="L41" s="265"/>
    </row>
    <row r="42" spans="2:12">
      <c r="B42" s="282" t="s">
        <v>69</v>
      </c>
      <c r="C42" s="282"/>
      <c r="D42" s="282"/>
      <c r="E42" s="282"/>
      <c r="F42" s="282"/>
      <c r="G42" s="282"/>
      <c r="H42" s="282"/>
      <c r="I42" s="282"/>
      <c r="J42" s="282"/>
      <c r="K42" s="282"/>
      <c r="L42" s="282"/>
    </row>
    <row r="43" spans="2:12">
      <c r="K43" s="4"/>
    </row>
    <row r="44" spans="2:12">
      <c r="K44" s="4"/>
    </row>
    <row r="45" spans="2:12">
      <c r="K45" s="4"/>
    </row>
    <row r="46" spans="2:12">
      <c r="K46" s="4"/>
    </row>
    <row r="47" spans="2:12">
      <c r="K47" s="4"/>
    </row>
  </sheetData>
  <mergeCells count="66">
    <mergeCell ref="B42:L42"/>
    <mergeCell ref="B27:B30"/>
    <mergeCell ref="C27:C30"/>
    <mergeCell ref="D27:D30"/>
    <mergeCell ref="E27:E30"/>
    <mergeCell ref="F27:F30"/>
    <mergeCell ref="K27:K30"/>
    <mergeCell ref="L27:L30"/>
    <mergeCell ref="B39:B41"/>
    <mergeCell ref="C39:C41"/>
    <mergeCell ref="D39:D41"/>
    <mergeCell ref="E39:E41"/>
    <mergeCell ref="K39:K41"/>
    <mergeCell ref="L39:L41"/>
    <mergeCell ref="B35:L35"/>
    <mergeCell ref="B36:B38"/>
    <mergeCell ref="C36:C38"/>
    <mergeCell ref="D36:D38"/>
    <mergeCell ref="E36:E38"/>
    <mergeCell ref="K36:K38"/>
    <mergeCell ref="L36:L38"/>
    <mergeCell ref="L19:L22"/>
    <mergeCell ref="B23:B26"/>
    <mergeCell ref="C23:C26"/>
    <mergeCell ref="D23:D26"/>
    <mergeCell ref="E23:E26"/>
    <mergeCell ref="F23:F26"/>
    <mergeCell ref="K23:K26"/>
    <mergeCell ref="L23:L26"/>
    <mergeCell ref="B19:B22"/>
    <mergeCell ref="C19:C22"/>
    <mergeCell ref="D19:D22"/>
    <mergeCell ref="E19:E22"/>
    <mergeCell ref="F19:F22"/>
    <mergeCell ref="K19:K22"/>
    <mergeCell ref="L11:L14"/>
    <mergeCell ref="B15:B18"/>
    <mergeCell ref="C15:C18"/>
    <mergeCell ref="D15:D18"/>
    <mergeCell ref="E15:E18"/>
    <mergeCell ref="F15:F18"/>
    <mergeCell ref="K15:K18"/>
    <mergeCell ref="L15:L18"/>
    <mergeCell ref="B11:B14"/>
    <mergeCell ref="C11:C14"/>
    <mergeCell ref="D11:D14"/>
    <mergeCell ref="E11:E14"/>
    <mergeCell ref="F11:F14"/>
    <mergeCell ref="K11:K14"/>
    <mergeCell ref="B2:B3"/>
    <mergeCell ref="G6:H6"/>
    <mergeCell ref="B7:L7"/>
    <mergeCell ref="B8:B10"/>
    <mergeCell ref="C8:C10"/>
    <mergeCell ref="D8:D10"/>
    <mergeCell ref="E8:E10"/>
    <mergeCell ref="F8:F10"/>
    <mergeCell ref="K8:K10"/>
    <mergeCell ref="L8:L10"/>
    <mergeCell ref="K31:K34"/>
    <mergeCell ref="L31:L34"/>
    <mergeCell ref="B31:B34"/>
    <mergeCell ref="C31:C34"/>
    <mergeCell ref="D31:D34"/>
    <mergeCell ref="E31:E34"/>
    <mergeCell ref="F31:F34"/>
  </mergeCells>
  <conditionalFormatting sqref="K8:K34 K36:K41">
    <cfRule type="cellIs" dxfId="30" priority="1" operator="equal">
      <formula>"Block"</formula>
    </cfRule>
    <cfRule type="cellIs" dxfId="29" priority="2" operator="equal">
      <formula>"."</formula>
    </cfRule>
    <cfRule type="cellIs" dxfId="28" priority="3" operator="equal">
      <formula>1</formula>
    </cfRule>
    <cfRule type="cellIs" dxfId="27" priority="4" operator="equal">
      <formula>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0FFE-FC57-4779-9908-130A22D3A2A7}">
  <dimension ref="A1:R39"/>
  <sheetViews>
    <sheetView topLeftCell="A24" zoomScale="98" zoomScaleNormal="98" workbookViewId="0">
      <selection activeCell="K39" sqref="K39"/>
    </sheetView>
  </sheetViews>
  <sheetFormatPr defaultColWidth="9.1796875" defaultRowHeight="14.5"/>
  <cols>
    <col min="1" max="1" width="2.7265625" style="4" customWidth="1"/>
    <col min="2" max="2" width="13" style="33" bestFit="1" customWidth="1"/>
    <col min="3" max="6" width="13" style="33" customWidth="1"/>
    <col min="7" max="7" width="4.26953125" style="33" customWidth="1"/>
    <col min="8" max="8" width="42.1796875" style="4" bestFit="1" customWidth="1"/>
    <col min="9" max="9" width="31.453125" style="40" bestFit="1" customWidth="1"/>
    <col min="10" max="10" width="28.453125" style="40" customWidth="1"/>
    <col min="11" max="11" width="11.7265625" style="5" bestFit="1" customWidth="1"/>
    <col min="12" max="12" width="39.7265625" style="4" customWidth="1"/>
    <col min="13" max="13" width="11.7265625" style="4" bestFit="1" customWidth="1"/>
    <col min="14" max="14" width="28.26953125" style="4" customWidth="1"/>
    <col min="15" max="15" width="9.1796875" style="4"/>
    <col min="16" max="16" width="11.7265625" style="4" bestFit="1" customWidth="1"/>
    <col min="17" max="16384" width="9.1796875" style="4"/>
  </cols>
  <sheetData>
    <row r="1" spans="1:18">
      <c r="O1" s="5"/>
    </row>
    <row r="2" spans="1:18" ht="21.75" customHeight="1">
      <c r="B2" s="276">
        <f>SUM(O3:O4)/SUM(O6:O6)</f>
        <v>0</v>
      </c>
      <c r="C2" s="47"/>
      <c r="D2" s="47"/>
      <c r="E2" s="47"/>
      <c r="F2" s="47"/>
      <c r="G2" s="60"/>
      <c r="H2" s="24" t="s">
        <v>40</v>
      </c>
      <c r="I2" s="37"/>
      <c r="J2" s="37"/>
      <c r="K2" s="16"/>
      <c r="L2" s="15" t="s">
        <v>577</v>
      </c>
      <c r="N2" s="56" t="s">
        <v>41</v>
      </c>
      <c r="O2" s="55">
        <f>SUM(O3:O5)/O7</f>
        <v>0</v>
      </c>
      <c r="Q2" s="84" t="s">
        <v>42</v>
      </c>
    </row>
    <row r="3" spans="1:18" ht="43.5">
      <c r="B3" s="276"/>
      <c r="C3" s="48"/>
      <c r="D3" s="48"/>
      <c r="E3" s="48"/>
      <c r="F3" s="48"/>
      <c r="G3" s="61"/>
      <c r="H3" s="23" t="s">
        <v>43</v>
      </c>
      <c r="I3" s="38"/>
      <c r="J3" s="38"/>
      <c r="K3" s="12"/>
      <c r="L3" s="13" t="s">
        <v>136</v>
      </c>
      <c r="N3" s="57" t="s">
        <v>44</v>
      </c>
      <c r="O3" s="58">
        <f>COUNTIF(K7:K86,1)</f>
        <v>0</v>
      </c>
      <c r="Q3" s="84" t="s">
        <v>45</v>
      </c>
      <c r="R3" s="85">
        <f>COUNTIF(D8:D85,"Positive")</f>
        <v>8</v>
      </c>
    </row>
    <row r="4" spans="1:18" ht="43.5">
      <c r="B4" s="30" t="s">
        <v>46</v>
      </c>
      <c r="C4" s="49"/>
      <c r="D4" s="49"/>
      <c r="E4" s="49"/>
      <c r="F4" s="49"/>
      <c r="G4" s="62"/>
      <c r="H4" s="23" t="s">
        <v>47</v>
      </c>
      <c r="I4" s="38"/>
      <c r="J4" s="38"/>
      <c r="K4" s="12"/>
      <c r="L4" s="13" t="s">
        <v>137</v>
      </c>
      <c r="M4" s="22"/>
      <c r="N4" s="17" t="s">
        <v>49</v>
      </c>
      <c r="O4" s="18">
        <f>COUNTIF(K7:K86,0)</f>
        <v>0</v>
      </c>
      <c r="P4" s="5"/>
      <c r="Q4" s="84" t="s">
        <v>50</v>
      </c>
      <c r="R4" s="85">
        <f>COUNTIF(D15:D85,"Negative")</f>
        <v>0</v>
      </c>
    </row>
    <row r="5" spans="1:18" ht="26">
      <c r="B5" s="31"/>
      <c r="C5" s="39"/>
      <c r="D5" s="39"/>
      <c r="E5" s="39"/>
      <c r="F5" s="39"/>
      <c r="G5" s="39"/>
      <c r="H5" s="11"/>
      <c r="I5" s="39"/>
      <c r="J5" s="39"/>
      <c r="K5" s="11"/>
      <c r="L5" s="14"/>
      <c r="M5" s="22"/>
      <c r="N5" s="82" t="s">
        <v>51</v>
      </c>
      <c r="O5" s="83">
        <f>COUNTIF(K15:K88,"Block")</f>
        <v>0</v>
      </c>
    </row>
    <row r="6" spans="1:18" s="5" customFormat="1">
      <c r="B6" s="32" t="s">
        <v>52</v>
      </c>
      <c r="C6" s="32" t="s">
        <v>43</v>
      </c>
      <c r="D6" s="79" t="s">
        <v>53</v>
      </c>
      <c r="E6" s="79" t="s">
        <v>54</v>
      </c>
      <c r="F6" s="79" t="s">
        <v>55</v>
      </c>
      <c r="G6" s="278" t="s">
        <v>56</v>
      </c>
      <c r="H6" s="278"/>
      <c r="I6" s="32" t="s">
        <v>57</v>
      </c>
      <c r="J6" s="32" t="s">
        <v>58</v>
      </c>
      <c r="K6" s="6" t="s">
        <v>59</v>
      </c>
      <c r="L6" s="6" t="s">
        <v>138</v>
      </c>
      <c r="N6" s="19" t="s">
        <v>61</v>
      </c>
      <c r="O6" s="20">
        <f>COUNTIF(K7:K86,".")</f>
        <v>8</v>
      </c>
    </row>
    <row r="7" spans="1:18"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N7" s="21" t="s">
        <v>63</v>
      </c>
      <c r="O7" s="21">
        <f>SUM(O3:O6)</f>
        <v>8</v>
      </c>
    </row>
    <row r="8" spans="1:18">
      <c r="B8" s="292" t="s">
        <v>173</v>
      </c>
      <c r="C8" s="292"/>
      <c r="D8" s="292"/>
      <c r="E8" s="292"/>
      <c r="F8" s="292"/>
      <c r="G8" s="292"/>
      <c r="H8" s="292"/>
      <c r="I8" s="292"/>
      <c r="J8" s="292"/>
      <c r="K8" s="293"/>
      <c r="L8" s="293"/>
    </row>
    <row r="9" spans="1:18" s="196" customFormat="1">
      <c r="A9" s="4"/>
      <c r="B9" s="283" t="s">
        <v>578</v>
      </c>
      <c r="C9" s="283" t="s">
        <v>579</v>
      </c>
      <c r="D9" s="283" t="s">
        <v>66</v>
      </c>
      <c r="E9" s="283"/>
      <c r="F9" s="94"/>
      <c r="G9" s="103">
        <v>1</v>
      </c>
      <c r="H9" s="104" t="s">
        <v>176</v>
      </c>
      <c r="I9" s="104" t="s">
        <v>177</v>
      </c>
      <c r="J9" s="173"/>
      <c r="K9" s="290" t="s">
        <v>633</v>
      </c>
      <c r="L9" s="304" t="s">
        <v>580</v>
      </c>
      <c r="M9" s="4"/>
      <c r="N9" s="4"/>
      <c r="O9" s="4"/>
      <c r="P9" s="4"/>
      <c r="Q9" s="4"/>
      <c r="R9" s="4"/>
    </row>
    <row r="10" spans="1:18" s="196" customFormat="1">
      <c r="A10" s="4"/>
      <c r="B10" s="283"/>
      <c r="C10" s="283"/>
      <c r="D10" s="283"/>
      <c r="E10" s="283"/>
      <c r="F10" s="95"/>
      <c r="G10" s="103">
        <v>2</v>
      </c>
      <c r="H10" s="104" t="s">
        <v>178</v>
      </c>
      <c r="I10" s="104" t="s">
        <v>441</v>
      </c>
      <c r="J10" s="173"/>
      <c r="K10" s="281"/>
      <c r="L10" s="285"/>
      <c r="M10" s="4"/>
      <c r="N10" s="4"/>
      <c r="O10" s="4"/>
      <c r="P10" s="4"/>
      <c r="Q10" s="4"/>
      <c r="R10" s="4"/>
    </row>
    <row r="11" spans="1:18" s="196" customFormat="1">
      <c r="A11" s="4"/>
      <c r="B11" s="283"/>
      <c r="C11" s="283"/>
      <c r="D11" s="283"/>
      <c r="E11" s="283"/>
      <c r="F11" s="95"/>
      <c r="G11" s="103">
        <v>3</v>
      </c>
      <c r="H11" s="104" t="s">
        <v>180</v>
      </c>
      <c r="I11" s="104" t="s">
        <v>441</v>
      </c>
      <c r="J11" s="173"/>
      <c r="K11" s="281"/>
      <c r="L11" s="285"/>
      <c r="M11" s="4"/>
      <c r="N11" s="4"/>
      <c r="O11" s="4"/>
      <c r="P11" s="4"/>
      <c r="Q11" s="4"/>
      <c r="R11" s="4"/>
    </row>
    <row r="12" spans="1:18" s="196" customFormat="1">
      <c r="A12" s="4"/>
      <c r="B12" s="283" t="s">
        <v>578</v>
      </c>
      <c r="C12" s="283" t="s">
        <v>581</v>
      </c>
      <c r="D12" s="283" t="s">
        <v>66</v>
      </c>
      <c r="E12" s="283"/>
      <c r="F12" s="94"/>
      <c r="G12" s="103">
        <v>1</v>
      </c>
      <c r="H12" s="104" t="s">
        <v>176</v>
      </c>
      <c r="I12" s="104" t="s">
        <v>177</v>
      </c>
      <c r="J12" s="173"/>
      <c r="K12" s="290" t="s">
        <v>633</v>
      </c>
      <c r="L12" s="304" t="s">
        <v>580</v>
      </c>
      <c r="M12" s="4"/>
      <c r="N12" s="4"/>
      <c r="O12" s="4"/>
      <c r="P12" s="4"/>
      <c r="Q12" s="4"/>
      <c r="R12" s="4"/>
    </row>
    <row r="13" spans="1:18" s="196" customFormat="1">
      <c r="A13" s="4"/>
      <c r="B13" s="283"/>
      <c r="C13" s="283"/>
      <c r="D13" s="283"/>
      <c r="E13" s="283"/>
      <c r="F13" s="95"/>
      <c r="G13" s="103">
        <v>2</v>
      </c>
      <c r="H13" s="104" t="s">
        <v>178</v>
      </c>
      <c r="I13" s="104" t="s">
        <v>441</v>
      </c>
      <c r="J13" s="173"/>
      <c r="K13" s="281"/>
      <c r="L13" s="285"/>
      <c r="M13" s="4"/>
      <c r="N13" s="4"/>
      <c r="O13" s="4"/>
      <c r="P13" s="4"/>
      <c r="Q13" s="4"/>
      <c r="R13" s="4"/>
    </row>
    <row r="14" spans="1:18" s="196" customFormat="1">
      <c r="A14" s="4"/>
      <c r="B14" s="283"/>
      <c r="C14" s="283"/>
      <c r="D14" s="283"/>
      <c r="E14" s="283"/>
      <c r="F14" s="95"/>
      <c r="G14" s="103">
        <v>3</v>
      </c>
      <c r="H14" s="104" t="s">
        <v>180</v>
      </c>
      <c r="I14" s="104" t="s">
        <v>441</v>
      </c>
      <c r="J14" s="173"/>
      <c r="K14" s="281"/>
      <c r="L14" s="285"/>
      <c r="M14" s="4"/>
      <c r="N14" s="4"/>
      <c r="O14" s="4"/>
      <c r="P14" s="4"/>
      <c r="Q14" s="4"/>
      <c r="R14" s="4"/>
    </row>
    <row r="15" spans="1:18">
      <c r="B15" s="283" t="s">
        <v>578</v>
      </c>
      <c r="C15" s="283" t="s">
        <v>582</v>
      </c>
      <c r="D15" s="283" t="s">
        <v>66</v>
      </c>
      <c r="E15" s="283"/>
      <c r="F15" s="94"/>
      <c r="G15" s="103">
        <v>1</v>
      </c>
      <c r="H15" s="104" t="s">
        <v>176</v>
      </c>
      <c r="I15" s="104" t="s">
        <v>177</v>
      </c>
      <c r="J15" s="173"/>
      <c r="K15" s="290" t="s">
        <v>633</v>
      </c>
      <c r="L15" s="304" t="s">
        <v>583</v>
      </c>
    </row>
    <row r="16" spans="1:18">
      <c r="B16" s="283"/>
      <c r="C16" s="283"/>
      <c r="D16" s="283"/>
      <c r="E16" s="283"/>
      <c r="F16" s="95"/>
      <c r="G16" s="103">
        <v>2</v>
      </c>
      <c r="H16" s="104" t="s">
        <v>178</v>
      </c>
      <c r="I16" s="104" t="s">
        <v>441</v>
      </c>
      <c r="J16" s="173"/>
      <c r="K16" s="281"/>
      <c r="L16" s="285"/>
    </row>
    <row r="17" spans="2:12">
      <c r="B17" s="283"/>
      <c r="C17" s="283"/>
      <c r="D17" s="283"/>
      <c r="E17" s="283"/>
      <c r="F17" s="95"/>
      <c r="G17" s="103">
        <v>3</v>
      </c>
      <c r="H17" s="104"/>
      <c r="I17" s="104"/>
      <c r="J17" s="173"/>
      <c r="K17" s="281"/>
      <c r="L17" s="285"/>
    </row>
    <row r="18" spans="2:12">
      <c r="B18" s="283" t="s">
        <v>584</v>
      </c>
      <c r="C18" s="283" t="s">
        <v>585</v>
      </c>
      <c r="D18" s="283" t="s">
        <v>66</v>
      </c>
      <c r="E18" s="283"/>
      <c r="F18" s="94"/>
      <c r="G18" s="103">
        <v>1</v>
      </c>
      <c r="H18" s="104"/>
      <c r="I18" s="104"/>
      <c r="J18" s="157" t="s">
        <v>143</v>
      </c>
      <c r="K18" s="281" t="s">
        <v>633</v>
      </c>
      <c r="L18" s="285"/>
    </row>
    <row r="19" spans="2:12">
      <c r="B19" s="283"/>
      <c r="C19" s="283"/>
      <c r="D19" s="283"/>
      <c r="E19" s="283"/>
      <c r="F19" s="95"/>
      <c r="G19" s="103">
        <v>2</v>
      </c>
      <c r="H19" s="104"/>
      <c r="I19" s="104"/>
      <c r="J19" s="157" t="s">
        <v>146</v>
      </c>
      <c r="K19" s="281"/>
      <c r="L19" s="285"/>
    </row>
    <row r="20" spans="2:12" ht="29">
      <c r="B20" s="283"/>
      <c r="C20" s="283"/>
      <c r="D20" s="283"/>
      <c r="E20" s="283"/>
      <c r="F20" s="95"/>
      <c r="G20" s="103">
        <v>3</v>
      </c>
      <c r="H20" s="104"/>
      <c r="I20" s="104"/>
      <c r="J20" s="157" t="s">
        <v>471</v>
      </c>
      <c r="K20" s="281"/>
      <c r="L20" s="285"/>
    </row>
    <row r="21" spans="2:12">
      <c r="B21" s="283" t="s">
        <v>586</v>
      </c>
      <c r="C21" s="283" t="s">
        <v>587</v>
      </c>
      <c r="D21" s="283" t="s">
        <v>66</v>
      </c>
      <c r="E21" s="283"/>
      <c r="F21" s="94"/>
      <c r="G21" s="103">
        <v>1</v>
      </c>
      <c r="H21" s="104"/>
      <c r="I21" s="104"/>
      <c r="J21" s="173"/>
      <c r="K21" s="281" t="s">
        <v>633</v>
      </c>
      <c r="L21" s="285"/>
    </row>
    <row r="22" spans="2:12">
      <c r="B22" s="283"/>
      <c r="C22" s="283"/>
      <c r="D22" s="283"/>
      <c r="E22" s="283"/>
      <c r="F22" s="95"/>
      <c r="G22" s="103">
        <v>2</v>
      </c>
      <c r="H22" s="104"/>
      <c r="I22" s="104"/>
      <c r="J22" s="173"/>
      <c r="K22" s="281"/>
      <c r="L22" s="285"/>
    </row>
    <row r="23" spans="2:12">
      <c r="B23" s="283"/>
      <c r="C23" s="283"/>
      <c r="D23" s="283"/>
      <c r="E23" s="283"/>
      <c r="F23" s="95"/>
      <c r="G23" s="103">
        <v>3</v>
      </c>
      <c r="H23" s="104"/>
      <c r="I23" s="104"/>
      <c r="J23" s="173"/>
      <c r="K23" s="281"/>
      <c r="L23" s="285"/>
    </row>
    <row r="24" spans="2:12">
      <c r="B24" s="283" t="s">
        <v>586</v>
      </c>
      <c r="C24" s="283" t="s">
        <v>588</v>
      </c>
      <c r="D24" s="283" t="s">
        <v>66</v>
      </c>
      <c r="E24" s="283"/>
      <c r="F24" s="94"/>
      <c r="G24" s="103">
        <v>1</v>
      </c>
      <c r="H24" s="104"/>
      <c r="I24" s="104"/>
      <c r="J24" s="173"/>
      <c r="K24" s="281" t="s">
        <v>633</v>
      </c>
      <c r="L24" s="285"/>
    </row>
    <row r="25" spans="2:12">
      <c r="B25" s="283"/>
      <c r="C25" s="283"/>
      <c r="D25" s="283"/>
      <c r="E25" s="283"/>
      <c r="F25" s="95"/>
      <c r="G25" s="103">
        <v>2</v>
      </c>
      <c r="H25" s="104"/>
      <c r="I25" s="104"/>
      <c r="J25" s="173"/>
      <c r="K25" s="281"/>
      <c r="L25" s="285"/>
    </row>
    <row r="26" spans="2:12">
      <c r="B26" s="283"/>
      <c r="C26" s="283"/>
      <c r="D26" s="283"/>
      <c r="E26" s="283"/>
      <c r="F26" s="95"/>
      <c r="G26" s="103">
        <v>3</v>
      </c>
      <c r="H26" s="104"/>
      <c r="I26" s="104"/>
      <c r="J26" s="173"/>
      <c r="K26" s="281"/>
      <c r="L26" s="285"/>
    </row>
    <row r="27" spans="2:12">
      <c r="B27" s="283" t="s">
        <v>586</v>
      </c>
      <c r="C27" s="283" t="s">
        <v>589</v>
      </c>
      <c r="D27" s="283" t="s">
        <v>66</v>
      </c>
      <c r="E27" s="283"/>
      <c r="F27" s="94"/>
      <c r="G27" s="103">
        <v>1</v>
      </c>
      <c r="H27" s="104"/>
      <c r="I27" s="104"/>
      <c r="J27" s="173"/>
      <c r="K27" s="281" t="s">
        <v>633</v>
      </c>
      <c r="L27" s="285"/>
    </row>
    <row r="28" spans="2:12">
      <c r="B28" s="283"/>
      <c r="C28" s="283"/>
      <c r="D28" s="283"/>
      <c r="E28" s="283"/>
      <c r="F28" s="95"/>
      <c r="G28" s="103">
        <v>2</v>
      </c>
      <c r="H28" s="104"/>
      <c r="I28" s="104"/>
      <c r="J28" s="173"/>
      <c r="K28" s="281"/>
      <c r="L28" s="285"/>
    </row>
    <row r="29" spans="2:12">
      <c r="B29" s="283"/>
      <c r="C29" s="283"/>
      <c r="D29" s="283"/>
      <c r="E29" s="283"/>
      <c r="F29" s="95"/>
      <c r="G29" s="103">
        <v>3</v>
      </c>
      <c r="H29" s="104"/>
      <c r="I29" s="104"/>
      <c r="J29" s="173"/>
      <c r="K29" s="281"/>
      <c r="L29" s="285"/>
    </row>
    <row r="30" spans="2:12">
      <c r="B30" s="283" t="s">
        <v>586</v>
      </c>
      <c r="C30" s="283" t="s">
        <v>590</v>
      </c>
      <c r="D30" s="283" t="s">
        <v>66</v>
      </c>
      <c r="E30" s="283"/>
      <c r="F30" s="94"/>
      <c r="G30" s="103">
        <v>1</v>
      </c>
      <c r="H30" s="104"/>
      <c r="I30" s="104"/>
      <c r="J30" s="173"/>
      <c r="K30" s="281" t="s">
        <v>633</v>
      </c>
      <c r="L30" s="285"/>
    </row>
    <row r="31" spans="2:12">
      <c r="B31" s="283"/>
      <c r="C31" s="283"/>
      <c r="D31" s="283"/>
      <c r="E31" s="283"/>
      <c r="F31" s="95"/>
      <c r="G31" s="103">
        <v>2</v>
      </c>
      <c r="H31" s="104"/>
      <c r="I31" s="104"/>
      <c r="J31" s="173"/>
      <c r="K31" s="281"/>
      <c r="L31" s="285"/>
    </row>
    <row r="32" spans="2:12">
      <c r="B32" s="283"/>
      <c r="C32" s="283"/>
      <c r="D32" s="283"/>
      <c r="E32" s="283"/>
      <c r="F32" s="95"/>
      <c r="G32" s="103">
        <v>3</v>
      </c>
      <c r="H32" s="104"/>
      <c r="I32" s="104"/>
      <c r="J32" s="173"/>
      <c r="K32" s="281"/>
      <c r="L32" s="285"/>
    </row>
    <row r="33" spans="2:12" ht="15" customHeight="1">
      <c r="B33" s="335" t="s">
        <v>172</v>
      </c>
      <c r="C33" s="335"/>
      <c r="D33" s="335"/>
      <c r="E33" s="335"/>
      <c r="F33" s="335"/>
      <c r="G33" s="335"/>
      <c r="H33" s="335"/>
      <c r="I33" s="335"/>
      <c r="J33" s="335"/>
      <c r="K33" s="387"/>
      <c r="L33" s="388"/>
    </row>
    <row r="34" spans="2:12"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</row>
    <row r="35" spans="2:12">
      <c r="K35" s="4"/>
    </row>
    <row r="36" spans="2:12">
      <c r="K36" s="4"/>
    </row>
    <row r="37" spans="2:12">
      <c r="K37" s="4"/>
    </row>
    <row r="38" spans="2:12">
      <c r="K38" s="4"/>
    </row>
    <row r="39" spans="2:12">
      <c r="K39" s="4"/>
    </row>
  </sheetData>
  <mergeCells count="54">
    <mergeCell ref="B34:L34"/>
    <mergeCell ref="B33:L33"/>
    <mergeCell ref="L24:L26"/>
    <mergeCell ref="L30:L32"/>
    <mergeCell ref="B30:B32"/>
    <mergeCell ref="C30:C32"/>
    <mergeCell ref="D30:D32"/>
    <mergeCell ref="E30:E32"/>
    <mergeCell ref="K30:K32"/>
    <mergeCell ref="B27:B29"/>
    <mergeCell ref="C27:C29"/>
    <mergeCell ref="B24:B26"/>
    <mergeCell ref="C24:C26"/>
    <mergeCell ref="D24:D26"/>
    <mergeCell ref="E24:E26"/>
    <mergeCell ref="K24:K26"/>
    <mergeCell ref="D27:D29"/>
    <mergeCell ref="E27:E29"/>
    <mergeCell ref="L21:L23"/>
    <mergeCell ref="K21:K23"/>
    <mergeCell ref="K27:K29"/>
    <mergeCell ref="L27:L29"/>
    <mergeCell ref="B21:B23"/>
    <mergeCell ref="C21:C23"/>
    <mergeCell ref="D21:D23"/>
    <mergeCell ref="E21:E23"/>
    <mergeCell ref="L18:L20"/>
    <mergeCell ref="B18:B20"/>
    <mergeCell ref="C18:C20"/>
    <mergeCell ref="D18:D20"/>
    <mergeCell ref="E18:E20"/>
    <mergeCell ref="K18:K20"/>
    <mergeCell ref="B2:B3"/>
    <mergeCell ref="G6:H6"/>
    <mergeCell ref="B7:L7"/>
    <mergeCell ref="B8:L8"/>
    <mergeCell ref="B15:B17"/>
    <mergeCell ref="C15:C17"/>
    <mergeCell ref="D15:D17"/>
    <mergeCell ref="E15:E17"/>
    <mergeCell ref="K15:K17"/>
    <mergeCell ref="L15:L17"/>
    <mergeCell ref="B9:B11"/>
    <mergeCell ref="C9:C11"/>
    <mergeCell ref="D9:D11"/>
    <mergeCell ref="E9:E11"/>
    <mergeCell ref="K9:K11"/>
    <mergeCell ref="L9:L11"/>
    <mergeCell ref="L12:L14"/>
    <mergeCell ref="B12:B14"/>
    <mergeCell ref="C12:C14"/>
    <mergeCell ref="D12:D14"/>
    <mergeCell ref="E12:E14"/>
    <mergeCell ref="K12:K14"/>
  </mergeCells>
  <conditionalFormatting sqref="K9">
    <cfRule type="cellIs" dxfId="26" priority="4" operator="equal">
      <formula>"."</formula>
    </cfRule>
    <cfRule type="cellIs" dxfId="25" priority="5" operator="equal">
      <formula>1</formula>
    </cfRule>
    <cfRule type="cellIs" dxfId="24" priority="6" operator="equal">
      <formula>0</formula>
    </cfRule>
  </conditionalFormatting>
  <conditionalFormatting sqref="K12">
    <cfRule type="cellIs" dxfId="23" priority="1" operator="equal">
      <formula>"."</formula>
    </cfRule>
    <cfRule type="cellIs" dxfId="22" priority="2" operator="equal">
      <formula>1</formula>
    </cfRule>
    <cfRule type="cellIs" dxfId="21" priority="3" operator="equal">
      <formula>0</formula>
    </cfRule>
  </conditionalFormatting>
  <conditionalFormatting sqref="K15">
    <cfRule type="cellIs" dxfId="20" priority="73" operator="equal">
      <formula>"."</formula>
    </cfRule>
    <cfRule type="cellIs" dxfId="19" priority="74" operator="equal">
      <formula>1</formula>
    </cfRule>
    <cfRule type="cellIs" dxfId="18" priority="75" operator="equal">
      <formula>0</formula>
    </cfRule>
  </conditionalFormatting>
  <conditionalFormatting sqref="K18">
    <cfRule type="cellIs" dxfId="17" priority="67" operator="equal">
      <formula>"."</formula>
    </cfRule>
    <cfRule type="cellIs" dxfId="16" priority="68" operator="equal">
      <formula>1</formula>
    </cfRule>
    <cfRule type="cellIs" dxfId="15" priority="69" operator="equal">
      <formula>0</formula>
    </cfRule>
  </conditionalFormatting>
  <conditionalFormatting sqref="K21">
    <cfRule type="cellIs" dxfId="14" priority="64" operator="equal">
      <formula>"."</formula>
    </cfRule>
    <cfRule type="cellIs" dxfId="13" priority="65" operator="equal">
      <formula>1</formula>
    </cfRule>
    <cfRule type="cellIs" dxfId="12" priority="66" operator="equal">
      <formula>0</formula>
    </cfRule>
  </conditionalFormatting>
  <conditionalFormatting sqref="K24">
    <cfRule type="cellIs" dxfId="11" priority="52" operator="equal">
      <formula>"."</formula>
    </cfRule>
    <cfRule type="cellIs" dxfId="10" priority="53" operator="equal">
      <formula>1</formula>
    </cfRule>
    <cfRule type="cellIs" dxfId="9" priority="54" operator="equal">
      <formula>0</formula>
    </cfRule>
  </conditionalFormatting>
  <conditionalFormatting sqref="K27">
    <cfRule type="cellIs" dxfId="8" priority="7" operator="equal">
      <formula>"."</formula>
    </cfRule>
    <cfRule type="cellIs" dxfId="7" priority="8" operator="equal">
      <formula>1</formula>
    </cfRule>
    <cfRule type="cellIs" dxfId="6" priority="9" operator="equal">
      <formula>0</formula>
    </cfRule>
  </conditionalFormatting>
  <conditionalFormatting sqref="K30">
    <cfRule type="cellIs" dxfId="5" priority="13" operator="equal">
      <formula>"."</formula>
    </cfRule>
    <cfRule type="cellIs" dxfId="4" priority="14" operator="equal">
      <formula>1</formula>
    </cfRule>
    <cfRule type="cellIs" dxfId="3" priority="15" operator="equal">
      <formula>0</formula>
    </cfRule>
  </conditionalFormatting>
  <conditionalFormatting sqref="K33">
    <cfRule type="cellIs" dxfId="2" priority="61" operator="equal">
      <formula>"."</formula>
    </cfRule>
    <cfRule type="cellIs" dxfId="1" priority="62" operator="equal">
      <formula>1</formula>
    </cfRule>
    <cfRule type="cellIs" dxfId="0" priority="63" operator="equal">
      <formula>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ADC4-6A53-4B5A-A7B2-C057B43E0CBD}">
  <dimension ref="B4:G25"/>
  <sheetViews>
    <sheetView topLeftCell="A7" workbookViewId="0">
      <selection activeCell="M44" sqref="M44"/>
    </sheetView>
  </sheetViews>
  <sheetFormatPr defaultRowHeight="14.5"/>
  <cols>
    <col min="2" max="2" width="21.453125" customWidth="1"/>
    <col min="3" max="3" width="23.7265625" bestFit="1" customWidth="1"/>
    <col min="4" max="4" width="14.26953125" customWidth="1"/>
    <col min="5" max="5" width="13.26953125" customWidth="1"/>
    <col min="6" max="6" width="26.81640625" bestFit="1" customWidth="1"/>
    <col min="7" max="7" width="22" bestFit="1" customWidth="1"/>
  </cols>
  <sheetData>
    <row r="4" spans="2:7">
      <c r="B4" t="s">
        <v>591</v>
      </c>
      <c r="C4" t="s">
        <v>592</v>
      </c>
    </row>
    <row r="5" spans="2:7">
      <c r="B5" t="s">
        <v>593</v>
      </c>
      <c r="C5" t="s">
        <v>594</v>
      </c>
    </row>
    <row r="6" spans="2:7">
      <c r="B6" t="s">
        <v>595</v>
      </c>
      <c r="C6" t="s">
        <v>596</v>
      </c>
    </row>
    <row r="7" spans="2:7">
      <c r="B7" t="s">
        <v>597</v>
      </c>
      <c r="C7" t="s">
        <v>598</v>
      </c>
    </row>
    <row r="8" spans="2:7">
      <c r="B8" t="s">
        <v>599</v>
      </c>
      <c r="C8" t="s">
        <v>600</v>
      </c>
    </row>
    <row r="9" spans="2:7">
      <c r="C9" t="s">
        <v>601</v>
      </c>
    </row>
    <row r="10" spans="2:7">
      <c r="B10" t="s">
        <v>602</v>
      </c>
      <c r="C10" t="s">
        <v>600</v>
      </c>
      <c r="D10" t="s">
        <v>603</v>
      </c>
    </row>
    <row r="11" spans="2:7">
      <c r="D11" t="s">
        <v>604</v>
      </c>
    </row>
    <row r="12" spans="2:7">
      <c r="D12" t="s">
        <v>605</v>
      </c>
    </row>
    <row r="13" spans="2:7">
      <c r="C13" t="s">
        <v>601</v>
      </c>
      <c r="D13" t="s">
        <v>606</v>
      </c>
    </row>
    <row r="14" spans="2:7">
      <c r="D14" t="s">
        <v>607</v>
      </c>
    </row>
    <row r="15" spans="2:7">
      <c r="B15" t="s">
        <v>608</v>
      </c>
      <c r="C15" t="s">
        <v>599</v>
      </c>
      <c r="D15" t="s">
        <v>609</v>
      </c>
      <c r="E15" t="s">
        <v>608</v>
      </c>
      <c r="F15" t="s">
        <v>610</v>
      </c>
      <c r="G15" t="s">
        <v>611</v>
      </c>
    </row>
    <row r="16" spans="2:7">
      <c r="C16" t="s">
        <v>600</v>
      </c>
      <c r="D16" t="s">
        <v>603</v>
      </c>
      <c r="E16" t="s">
        <v>612</v>
      </c>
      <c r="F16" t="s">
        <v>613</v>
      </c>
      <c r="G16" t="s">
        <v>614</v>
      </c>
    </row>
    <row r="17" spans="3:7">
      <c r="F17" t="s">
        <v>615</v>
      </c>
      <c r="G17" t="s">
        <v>616</v>
      </c>
    </row>
    <row r="18" spans="3:7">
      <c r="F18" t="s">
        <v>617</v>
      </c>
    </row>
    <row r="19" spans="3:7">
      <c r="C19" t="s">
        <v>600</v>
      </c>
      <c r="D19" t="s">
        <v>603</v>
      </c>
      <c r="E19" t="s">
        <v>618</v>
      </c>
      <c r="F19" t="s">
        <v>619</v>
      </c>
      <c r="G19" t="s">
        <v>620</v>
      </c>
    </row>
    <row r="20" spans="3:7">
      <c r="G20" t="s">
        <v>621</v>
      </c>
    </row>
    <row r="21" spans="3:7">
      <c r="D21" t="s">
        <v>603</v>
      </c>
      <c r="E21" t="s">
        <v>622</v>
      </c>
      <c r="F21" t="s">
        <v>623</v>
      </c>
      <c r="G21" t="s">
        <v>620</v>
      </c>
    </row>
    <row r="22" spans="3:7">
      <c r="F22" t="s">
        <v>624</v>
      </c>
    </row>
    <row r="23" spans="3:7">
      <c r="D23" t="s">
        <v>604</v>
      </c>
      <c r="E23" t="s">
        <v>625</v>
      </c>
      <c r="F23" t="s">
        <v>626</v>
      </c>
    </row>
    <row r="24" spans="3:7">
      <c r="F24" t="s">
        <v>627</v>
      </c>
    </row>
    <row r="25" spans="3:7">
      <c r="D25" t="s">
        <v>604</v>
      </c>
      <c r="E25" t="s">
        <v>628</v>
      </c>
      <c r="F25" t="s">
        <v>629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AP545"/>
  <sheetViews>
    <sheetView workbookViewId="0">
      <selection activeCell="F10" sqref="F10"/>
    </sheetView>
  </sheetViews>
  <sheetFormatPr defaultColWidth="8.7265625" defaultRowHeight="14.5"/>
  <cols>
    <col min="2" max="2" width="11.26953125" style="29" customWidth="1"/>
    <col min="3" max="3" width="10" style="54" customWidth="1"/>
    <col min="4" max="4" width="101.7265625" customWidth="1"/>
  </cols>
  <sheetData>
    <row r="1" spans="1:42">
      <c r="A1" s="25"/>
      <c r="B1" s="389" t="s">
        <v>630</v>
      </c>
      <c r="C1" s="389"/>
      <c r="D1" s="389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</row>
    <row r="2" spans="1:42">
      <c r="A2" s="25"/>
      <c r="B2" s="389"/>
      <c r="C2" s="389"/>
      <c r="D2" s="389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>
      <c r="A3" s="25"/>
      <c r="B3" s="27" t="s">
        <v>47</v>
      </c>
      <c r="C3" s="51" t="s">
        <v>631</v>
      </c>
      <c r="D3" s="26" t="s">
        <v>632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>
      <c r="A4" s="25"/>
      <c r="B4" s="27"/>
      <c r="C4" s="51"/>
      <c r="D4" s="77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>
      <c r="A5" s="25"/>
      <c r="B5" s="27"/>
      <c r="C5" s="51"/>
      <c r="D5" s="77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>
      <c r="A6" s="25"/>
      <c r="B6" s="27"/>
      <c r="C6" s="51"/>
      <c r="D6" s="77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spans="1:42">
      <c r="A7" s="25"/>
      <c r="B7" s="27"/>
      <c r="C7" s="51"/>
      <c r="D7" s="7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</row>
    <row r="8" spans="1:42">
      <c r="A8" s="25"/>
      <c r="B8" s="27"/>
      <c r="C8" s="51"/>
      <c r="D8" s="77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>
      <c r="A9" s="25"/>
      <c r="B9" s="27"/>
      <c r="C9" s="51"/>
      <c r="D9" s="77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2">
      <c r="A10" s="25"/>
      <c r="B10" s="27"/>
      <c r="C10" s="51"/>
      <c r="D10" s="77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spans="1:42">
      <c r="A11" s="25"/>
      <c r="B11" s="27"/>
      <c r="C11" s="51"/>
      <c r="D11" s="7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spans="1:42">
      <c r="A12" s="25"/>
      <c r="B12" s="27"/>
      <c r="C12" s="51"/>
      <c r="D12" s="77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spans="1:42">
      <c r="A13" s="25"/>
      <c r="B13" s="27"/>
      <c r="C13" s="51"/>
      <c r="D13" s="77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spans="1:42">
      <c r="A14" s="25"/>
      <c r="B14" s="28"/>
      <c r="C14" s="52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spans="1:42">
      <c r="A15" s="25"/>
      <c r="B15" s="28"/>
      <c r="C15" s="53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</row>
    <row r="16" spans="1:42">
      <c r="A16" s="25"/>
      <c r="B16" s="28"/>
      <c r="C16" s="53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spans="1:42">
      <c r="A17" s="25"/>
      <c r="B17" s="28"/>
      <c r="C17" s="53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spans="1:42">
      <c r="A18" s="25"/>
      <c r="B18" s="28"/>
      <c r="C18" s="53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spans="1:42">
      <c r="A19" s="25"/>
      <c r="B19" s="28"/>
      <c r="C19" s="53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>
      <c r="A20" s="25"/>
      <c r="B20" s="28"/>
      <c r="C20" s="53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 spans="1:42">
      <c r="A21" s="25"/>
      <c r="B21" s="28"/>
      <c r="C21" s="53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1:42">
      <c r="A22" s="25"/>
      <c r="B22" s="28"/>
      <c r="C22" s="53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1:42">
      <c r="A23" s="25"/>
      <c r="B23" s="28"/>
      <c r="C23" s="53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</row>
    <row r="24" spans="1:42">
      <c r="A24" s="25"/>
      <c r="B24" s="28"/>
      <c r="C24" s="5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spans="1:42">
      <c r="A25" s="25"/>
      <c r="B25" s="28"/>
      <c r="C25" s="53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spans="1:42">
      <c r="A26" s="25"/>
      <c r="B26" s="28"/>
      <c r="C26" s="53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</row>
    <row r="27" spans="1:42">
      <c r="A27" s="25"/>
      <c r="B27" s="28"/>
      <c r="C27" s="53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</row>
    <row r="28" spans="1:42">
      <c r="A28" s="25"/>
      <c r="B28" s="28"/>
      <c r="C28" s="53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spans="1:42">
      <c r="A29" s="25"/>
      <c r="B29" s="28"/>
      <c r="C29" s="53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spans="1:42">
      <c r="A30" s="25"/>
      <c r="B30" s="28"/>
      <c r="C30" s="53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spans="1:42">
      <c r="A31" s="25"/>
      <c r="B31" s="28"/>
      <c r="C31" s="53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spans="1:42">
      <c r="A32" s="25"/>
      <c r="B32" s="28"/>
      <c r="C32" s="53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spans="1:42">
      <c r="A33" s="25"/>
      <c r="B33" s="28"/>
      <c r="C33" s="53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spans="1:42">
      <c r="A34" s="25"/>
      <c r="B34" s="28"/>
      <c r="C34" s="53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spans="1:42">
      <c r="A35" s="25"/>
      <c r="B35" s="28"/>
      <c r="C35" s="53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spans="1:42">
      <c r="A36" s="25"/>
      <c r="B36" s="28"/>
      <c r="C36" s="53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spans="1:42">
      <c r="A37" s="25"/>
      <c r="B37" s="28"/>
      <c r="C37" s="53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spans="1:42">
      <c r="A38" s="25"/>
      <c r="B38" s="28"/>
      <c r="C38" s="53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spans="1:42">
      <c r="A39" s="25"/>
      <c r="B39" s="28"/>
      <c r="C39" s="53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spans="1:42">
      <c r="A40" s="25"/>
      <c r="B40" s="28"/>
      <c r="C40" s="53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</row>
    <row r="41" spans="1:42">
      <c r="A41" s="25"/>
      <c r="B41" s="28"/>
      <c r="C41" s="53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</row>
    <row r="42" spans="1:42">
      <c r="A42" s="25"/>
      <c r="B42" s="28"/>
      <c r="C42" s="53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</row>
    <row r="43" spans="1:42">
      <c r="A43" s="25"/>
      <c r="B43" s="28"/>
      <c r="C43" s="53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</row>
    <row r="44" spans="1:42">
      <c r="A44" s="25"/>
      <c r="B44" s="28"/>
      <c r="C44" s="53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spans="1:42">
      <c r="A45" s="25"/>
      <c r="B45" s="28"/>
      <c r="C45" s="53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spans="1:42">
      <c r="A46" s="25"/>
      <c r="B46" s="28"/>
      <c r="C46" s="53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spans="1:42">
      <c r="A47" s="25"/>
      <c r="B47" s="28"/>
      <c r="C47" s="53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spans="1:42">
      <c r="A48" s="25"/>
      <c r="B48" s="28"/>
      <c r="C48" s="53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spans="1:42">
      <c r="A49" s="25"/>
      <c r="B49" s="28"/>
      <c r="C49" s="53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spans="1:42">
      <c r="A50" s="25"/>
      <c r="B50" s="28"/>
      <c r="C50" s="53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spans="1:42">
      <c r="A51" s="25"/>
      <c r="B51" s="28"/>
      <c r="C51" s="53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spans="1:42">
      <c r="A52" s="25"/>
      <c r="B52" s="28"/>
      <c r="C52" s="53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</row>
    <row r="53" spans="1:42">
      <c r="A53" s="25"/>
      <c r="B53" s="28"/>
      <c r="C53" s="53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spans="1:42">
      <c r="A54" s="25"/>
      <c r="B54" s="28"/>
      <c r="C54" s="53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spans="1:42">
      <c r="A55" s="25"/>
      <c r="B55" s="28"/>
      <c r="C55" s="53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spans="1:42">
      <c r="A56" s="25"/>
      <c r="B56" s="28"/>
      <c r="C56" s="53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spans="1:42">
      <c r="A57" s="25"/>
      <c r="B57" s="28"/>
      <c r="C57" s="53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spans="1:42">
      <c r="A58" s="25"/>
      <c r="B58" s="28"/>
      <c r="C58" s="53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spans="1:42">
      <c r="A59" s="25"/>
      <c r="B59" s="28"/>
      <c r="C59" s="53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spans="1:42">
      <c r="A60" s="25"/>
      <c r="B60" s="28"/>
      <c r="C60" s="53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  <row r="61" spans="1:42">
      <c r="A61" s="25"/>
      <c r="B61" s="28"/>
      <c r="C61" s="53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</row>
    <row r="62" spans="1:42">
      <c r="A62" s="25"/>
      <c r="B62" s="28"/>
      <c r="C62" s="53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</row>
    <row r="63" spans="1:42">
      <c r="A63" s="25"/>
      <c r="B63" s="28"/>
      <c r="C63" s="53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</row>
    <row r="64" spans="1:42">
      <c r="A64" s="25"/>
      <c r="B64" s="28"/>
      <c r="C64" s="53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</row>
    <row r="65" spans="1:42">
      <c r="A65" s="25"/>
      <c r="B65" s="28"/>
      <c r="C65" s="53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spans="1:42">
      <c r="A66" s="25"/>
      <c r="B66" s="28"/>
      <c r="C66" s="53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spans="1:42">
      <c r="A67" s="25"/>
      <c r="B67" s="28"/>
      <c r="C67" s="53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</row>
    <row r="68" spans="1:42">
      <c r="A68" s="25"/>
      <c r="B68" s="28"/>
      <c r="C68" s="53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spans="1:42">
      <c r="A69" s="25"/>
      <c r="B69" s="28"/>
      <c r="C69" s="53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spans="1:42">
      <c r="A70" s="25"/>
      <c r="B70" s="28"/>
      <c r="C70" s="53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spans="1:42">
      <c r="A71" s="25"/>
      <c r="B71" s="28"/>
      <c r="C71" s="53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</row>
    <row r="72" spans="1:42">
      <c r="A72" s="25"/>
      <c r="B72" s="28"/>
      <c r="C72" s="53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spans="1:42">
      <c r="A73" s="25"/>
      <c r="B73" s="28"/>
      <c r="C73" s="53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spans="1:42">
      <c r="A74" s="25"/>
      <c r="B74" s="28"/>
      <c r="C74" s="53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spans="1:42">
      <c r="A75" s="25"/>
      <c r="B75" s="28"/>
      <c r="C75" s="53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spans="1:42">
      <c r="A76" s="25"/>
      <c r="B76" s="28"/>
      <c r="C76" s="53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</row>
    <row r="77" spans="1:42">
      <c r="A77" s="25"/>
      <c r="B77" s="28"/>
      <c r="C77" s="53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spans="1:42">
      <c r="A78" s="25"/>
      <c r="B78" s="28"/>
      <c r="C78" s="53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spans="1:42">
      <c r="A79" s="25"/>
      <c r="B79" s="28"/>
      <c r="C79" s="53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spans="1:42">
      <c r="A80" s="25"/>
      <c r="B80" s="28"/>
      <c r="C80" s="53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spans="1:42">
      <c r="A81" s="25"/>
      <c r="B81" s="28"/>
      <c r="C81" s="53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</row>
    <row r="82" spans="1:42">
      <c r="A82" s="25"/>
      <c r="B82" s="28"/>
      <c r="C82" s="53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spans="1:42">
      <c r="A83" s="25"/>
      <c r="B83" s="28"/>
      <c r="C83" s="53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spans="1:42">
      <c r="A84" s="25"/>
      <c r="B84" s="28"/>
      <c r="C84" s="53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</row>
    <row r="85" spans="1:42">
      <c r="A85" s="25"/>
      <c r="B85" s="28"/>
      <c r="C85" s="53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spans="1:42">
      <c r="A86" s="25"/>
      <c r="B86" s="28"/>
      <c r="C86" s="53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spans="1:42">
      <c r="A87" s="25"/>
      <c r="B87" s="28"/>
      <c r="C87" s="53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</row>
    <row r="88" spans="1:42">
      <c r="A88" s="25"/>
      <c r="B88" s="28"/>
      <c r="C88" s="53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</row>
    <row r="89" spans="1:42">
      <c r="A89" s="25"/>
      <c r="B89" s="28"/>
      <c r="C89" s="53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</row>
    <row r="90" spans="1:42">
      <c r="A90" s="25"/>
      <c r="B90" s="28"/>
      <c r="C90" s="53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spans="1:42">
      <c r="A91" s="25"/>
      <c r="B91" s="28"/>
      <c r="C91" s="53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</row>
    <row r="92" spans="1:42">
      <c r="A92" s="25"/>
      <c r="B92" s="28"/>
      <c r="C92" s="53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</row>
    <row r="93" spans="1:42">
      <c r="A93" s="25"/>
      <c r="B93" s="28"/>
      <c r="C93" s="53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spans="1:42">
      <c r="A94" s="25"/>
      <c r="B94" s="28"/>
      <c r="C94" s="53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</row>
    <row r="95" spans="1:42">
      <c r="A95" s="25"/>
      <c r="B95" s="28"/>
      <c r="C95" s="53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</row>
    <row r="96" spans="1:42">
      <c r="A96" s="25"/>
      <c r="B96" s="28"/>
      <c r="C96" s="53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spans="1:42">
      <c r="A97" s="25"/>
      <c r="B97" s="28"/>
      <c r="C97" s="53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spans="1:42">
      <c r="A98" s="25"/>
      <c r="B98" s="28"/>
      <c r="C98" s="53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spans="1:42">
      <c r="A99" s="25"/>
      <c r="B99" s="28"/>
      <c r="C99" s="53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spans="1:42">
      <c r="A100" s="25"/>
      <c r="B100" s="28"/>
      <c r="C100" s="53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</row>
    <row r="101" spans="1:42">
      <c r="A101" s="25"/>
      <c r="B101" s="28"/>
      <c r="C101" s="53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spans="1:42">
      <c r="A102" s="25"/>
      <c r="B102" s="28"/>
      <c r="C102" s="53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</row>
    <row r="103" spans="1:42">
      <c r="A103" s="25"/>
      <c r="B103" s="28"/>
      <c r="C103" s="53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</row>
    <row r="104" spans="1:42">
      <c r="A104" s="25"/>
      <c r="B104" s="28"/>
      <c r="C104" s="53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</row>
    <row r="105" spans="1:42">
      <c r="A105" s="25"/>
      <c r="B105" s="28"/>
      <c r="C105" s="53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</row>
    <row r="106" spans="1:42">
      <c r="A106" s="25"/>
      <c r="B106" s="28"/>
      <c r="C106" s="53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</row>
    <row r="107" spans="1:42">
      <c r="A107" s="25"/>
      <c r="B107" s="28"/>
      <c r="C107" s="53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</row>
    <row r="108" spans="1:42">
      <c r="A108" s="25"/>
      <c r="B108" s="28"/>
      <c r="C108" s="53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</row>
    <row r="109" spans="1:42">
      <c r="A109" s="25"/>
      <c r="B109" s="28"/>
      <c r="C109" s="53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</row>
    <row r="110" spans="1:42">
      <c r="A110" s="25"/>
      <c r="B110" s="28"/>
      <c r="C110" s="53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</row>
    <row r="111" spans="1:42">
      <c r="A111" s="25"/>
      <c r="B111" s="28"/>
      <c r="C111" s="53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</row>
    <row r="112" spans="1:42">
      <c r="A112" s="25"/>
      <c r="B112" s="28"/>
      <c r="C112" s="53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</row>
    <row r="113" spans="1:42">
      <c r="A113" s="25"/>
      <c r="B113" s="28"/>
      <c r="C113" s="53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</row>
    <row r="114" spans="1:42">
      <c r="A114" s="25"/>
      <c r="B114" s="28"/>
      <c r="C114" s="53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</row>
    <row r="115" spans="1:42">
      <c r="A115" s="25"/>
      <c r="B115" s="28"/>
      <c r="C115" s="53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</row>
    <row r="116" spans="1:42">
      <c r="A116" s="25"/>
      <c r="B116" s="28"/>
      <c r="C116" s="53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 spans="1:42">
      <c r="A117" s="25"/>
      <c r="B117" s="28"/>
      <c r="C117" s="53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</row>
    <row r="118" spans="1:42">
      <c r="A118" s="25"/>
      <c r="B118" s="28"/>
      <c r="C118" s="53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</row>
    <row r="119" spans="1:42">
      <c r="A119" s="25"/>
      <c r="B119" s="28"/>
      <c r="C119" s="53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</row>
    <row r="120" spans="1:42">
      <c r="A120" s="25"/>
      <c r="B120" s="28"/>
      <c r="C120" s="53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</row>
    <row r="121" spans="1:42">
      <c r="A121" s="25"/>
      <c r="B121" s="28"/>
      <c r="C121" s="53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</row>
    <row r="122" spans="1:42">
      <c r="A122" s="25"/>
      <c r="B122" s="28"/>
      <c r="C122" s="53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</row>
    <row r="123" spans="1:42">
      <c r="A123" s="25"/>
      <c r="B123" s="28"/>
      <c r="C123" s="53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</row>
    <row r="124" spans="1:42">
      <c r="A124" s="25"/>
      <c r="B124" s="28"/>
      <c r="C124" s="53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</row>
    <row r="125" spans="1:42">
      <c r="A125" s="25"/>
      <c r="B125" s="28"/>
      <c r="C125" s="53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</row>
    <row r="126" spans="1:42">
      <c r="A126" s="25"/>
      <c r="B126" s="28"/>
      <c r="C126" s="53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</row>
    <row r="127" spans="1:42">
      <c r="A127" s="25"/>
      <c r="B127" s="28"/>
      <c r="C127" s="53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</row>
    <row r="128" spans="1:42">
      <c r="A128" s="25"/>
      <c r="B128" s="28"/>
      <c r="C128" s="53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</row>
    <row r="129" spans="1:42">
      <c r="A129" s="25"/>
      <c r="B129" s="28"/>
      <c r="C129" s="53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</row>
    <row r="130" spans="1:42">
      <c r="A130" s="25"/>
      <c r="B130" s="28"/>
      <c r="C130" s="53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</row>
    <row r="131" spans="1:42">
      <c r="A131" s="25"/>
      <c r="B131" s="28"/>
      <c r="C131" s="53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</row>
    <row r="132" spans="1:42">
      <c r="A132" s="25"/>
      <c r="B132" s="28"/>
      <c r="C132" s="53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</row>
    <row r="133" spans="1:42">
      <c r="A133" s="25"/>
      <c r="B133" s="28"/>
      <c r="C133" s="53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</row>
    <row r="134" spans="1:42">
      <c r="A134" s="25"/>
      <c r="B134" s="28"/>
      <c r="C134" s="53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</row>
    <row r="135" spans="1:42">
      <c r="A135" s="25"/>
      <c r="B135" s="28"/>
      <c r="C135" s="53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</row>
    <row r="136" spans="1:42">
      <c r="A136" s="25"/>
      <c r="B136" s="28"/>
      <c r="C136" s="53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</row>
    <row r="137" spans="1:42">
      <c r="A137" s="25"/>
      <c r="B137" s="28"/>
      <c r="C137" s="53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</row>
    <row r="138" spans="1:42">
      <c r="A138" s="25"/>
      <c r="B138" s="28"/>
      <c r="C138" s="53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</row>
    <row r="139" spans="1:42">
      <c r="A139" s="25"/>
      <c r="B139" s="28"/>
      <c r="C139" s="53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</row>
    <row r="140" spans="1:42">
      <c r="A140" s="25"/>
      <c r="B140" s="28"/>
      <c r="C140" s="53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</row>
    <row r="141" spans="1:42">
      <c r="A141" s="25"/>
      <c r="B141" s="28"/>
      <c r="C141" s="53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</row>
    <row r="142" spans="1:42">
      <c r="A142" s="25"/>
      <c r="B142" s="28"/>
      <c r="C142" s="53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</row>
    <row r="143" spans="1:42">
      <c r="A143" s="25"/>
      <c r="B143" s="28"/>
      <c r="C143" s="53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</row>
    <row r="144" spans="1:42">
      <c r="A144" s="25"/>
      <c r="B144" s="28"/>
      <c r="C144" s="53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</row>
    <row r="145" spans="1:42">
      <c r="A145" s="25"/>
      <c r="B145" s="28"/>
      <c r="C145" s="53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</row>
    <row r="146" spans="1:42">
      <c r="A146" s="25"/>
      <c r="B146" s="28"/>
      <c r="C146" s="53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</row>
    <row r="147" spans="1:42">
      <c r="A147" s="25"/>
      <c r="B147" s="28"/>
      <c r="C147" s="53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</row>
    <row r="148" spans="1:42">
      <c r="A148" s="25"/>
      <c r="B148" s="28"/>
      <c r="C148" s="53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</row>
    <row r="149" spans="1:42">
      <c r="A149" s="25"/>
      <c r="B149" s="28"/>
      <c r="C149" s="53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</row>
    <row r="150" spans="1:42">
      <c r="A150" s="25"/>
      <c r="B150" s="28"/>
      <c r="C150" s="53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</row>
    <row r="151" spans="1:42">
      <c r="A151" s="25"/>
      <c r="B151" s="28"/>
      <c r="C151" s="53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</row>
    <row r="152" spans="1:42">
      <c r="A152" s="25"/>
      <c r="B152" s="28"/>
      <c r="C152" s="53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</row>
    <row r="153" spans="1:42">
      <c r="A153" s="25"/>
      <c r="B153" s="28"/>
      <c r="C153" s="53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</row>
    <row r="154" spans="1:42">
      <c r="A154" s="25"/>
      <c r="B154" s="28"/>
      <c r="C154" s="53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</row>
    <row r="155" spans="1:42">
      <c r="A155" s="25"/>
      <c r="B155" s="28"/>
      <c r="C155" s="53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</row>
    <row r="156" spans="1:42">
      <c r="A156" s="25"/>
      <c r="B156" s="28"/>
      <c r="C156" s="53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</row>
    <row r="157" spans="1:42">
      <c r="A157" s="25"/>
      <c r="B157" s="28"/>
      <c r="C157" s="53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</row>
    <row r="158" spans="1:42">
      <c r="A158" s="25"/>
      <c r="B158" s="28"/>
      <c r="C158" s="53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</row>
    <row r="159" spans="1:42">
      <c r="A159" s="25"/>
      <c r="B159" s="28"/>
      <c r="C159" s="53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</row>
    <row r="160" spans="1:42">
      <c r="A160" s="25"/>
      <c r="B160" s="28"/>
      <c r="C160" s="53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</row>
    <row r="161" spans="1:42">
      <c r="A161" s="25"/>
      <c r="B161" s="28"/>
      <c r="C161" s="53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</row>
    <row r="162" spans="1:42">
      <c r="A162" s="25"/>
      <c r="B162" s="28"/>
      <c r="C162" s="53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</row>
    <row r="163" spans="1:42">
      <c r="A163" s="25"/>
      <c r="B163" s="28"/>
      <c r="C163" s="53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</row>
    <row r="164" spans="1:42">
      <c r="A164" s="25"/>
      <c r="B164" s="28"/>
      <c r="C164" s="53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</row>
    <row r="165" spans="1:42">
      <c r="A165" s="25"/>
      <c r="B165" s="28"/>
      <c r="C165" s="53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</row>
    <row r="166" spans="1:42">
      <c r="A166" s="25"/>
      <c r="B166" s="28"/>
      <c r="C166" s="53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</row>
    <row r="167" spans="1:42">
      <c r="A167" s="25"/>
      <c r="B167" s="28"/>
      <c r="C167" s="53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</row>
    <row r="168" spans="1:42">
      <c r="A168" s="25"/>
      <c r="B168" s="28"/>
      <c r="C168" s="53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</row>
    <row r="169" spans="1:42">
      <c r="A169" s="25"/>
      <c r="B169" s="28"/>
      <c r="C169" s="53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</row>
    <row r="170" spans="1:42">
      <c r="A170" s="25"/>
      <c r="B170" s="28"/>
      <c r="C170" s="53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</row>
    <row r="171" spans="1:42">
      <c r="A171" s="25"/>
      <c r="B171" s="28"/>
      <c r="C171" s="53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</row>
    <row r="172" spans="1:42">
      <c r="A172" s="25"/>
      <c r="B172" s="28"/>
      <c r="C172" s="53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</row>
    <row r="173" spans="1:42">
      <c r="A173" s="25"/>
      <c r="B173" s="28"/>
      <c r="C173" s="53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</row>
    <row r="174" spans="1:42">
      <c r="A174" s="25"/>
      <c r="B174" s="28"/>
      <c r="C174" s="53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</row>
    <row r="175" spans="1:42">
      <c r="A175" s="25"/>
      <c r="B175" s="28"/>
      <c r="C175" s="53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</row>
    <row r="176" spans="1:42">
      <c r="A176" s="25"/>
      <c r="B176" s="28"/>
      <c r="C176" s="53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</row>
    <row r="177" spans="1:42">
      <c r="A177" s="25"/>
      <c r="B177" s="28"/>
      <c r="C177" s="53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</row>
    <row r="178" spans="1:42">
      <c r="A178" s="25"/>
      <c r="B178" s="28"/>
      <c r="C178" s="53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</row>
    <row r="179" spans="1:42">
      <c r="A179" s="25"/>
      <c r="B179" s="28"/>
      <c r="C179" s="53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</row>
    <row r="180" spans="1:42">
      <c r="A180" s="25"/>
      <c r="B180" s="28"/>
      <c r="C180" s="53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</row>
    <row r="181" spans="1:42">
      <c r="A181" s="25"/>
      <c r="B181" s="28"/>
      <c r="C181" s="53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</row>
    <row r="182" spans="1:42">
      <c r="A182" s="25"/>
      <c r="B182" s="28"/>
      <c r="C182" s="53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</row>
    <row r="183" spans="1:42">
      <c r="A183" s="25"/>
      <c r="B183" s="28"/>
      <c r="C183" s="53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</row>
    <row r="184" spans="1:42">
      <c r="A184" s="25"/>
      <c r="B184" s="28"/>
      <c r="C184" s="53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</row>
    <row r="185" spans="1:42">
      <c r="A185" s="25"/>
      <c r="B185" s="28"/>
      <c r="C185" s="53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</row>
    <row r="186" spans="1:42">
      <c r="A186" s="25"/>
      <c r="B186" s="28"/>
      <c r="C186" s="53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</row>
    <row r="187" spans="1:42">
      <c r="A187" s="25"/>
      <c r="B187" s="28"/>
      <c r="C187" s="53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</row>
    <row r="188" spans="1:42">
      <c r="A188" s="25"/>
      <c r="B188" s="28"/>
      <c r="C188" s="53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</row>
    <row r="189" spans="1:42">
      <c r="A189" s="25"/>
      <c r="B189" s="28"/>
      <c r="C189" s="53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</row>
    <row r="190" spans="1:42">
      <c r="A190" s="25"/>
      <c r="B190" s="28"/>
      <c r="C190" s="53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</row>
    <row r="191" spans="1:42">
      <c r="A191" s="25"/>
      <c r="B191" s="28"/>
      <c r="C191" s="53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</row>
    <row r="192" spans="1:42">
      <c r="A192" s="25"/>
      <c r="B192" s="28"/>
      <c r="C192" s="53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</row>
    <row r="193" spans="1:42">
      <c r="A193" s="25"/>
      <c r="B193" s="28"/>
      <c r="C193" s="53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</row>
    <row r="194" spans="1:42">
      <c r="A194" s="25"/>
      <c r="B194" s="28"/>
      <c r="C194" s="53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</row>
    <row r="195" spans="1:42">
      <c r="A195" s="25"/>
      <c r="B195" s="28"/>
      <c r="C195" s="53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</row>
    <row r="196" spans="1:42">
      <c r="A196" s="25"/>
      <c r="B196" s="28"/>
      <c r="C196" s="53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</row>
    <row r="197" spans="1:42">
      <c r="A197" s="25"/>
      <c r="B197" s="28"/>
      <c r="C197" s="53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</row>
    <row r="198" spans="1:42">
      <c r="A198" s="25"/>
      <c r="B198" s="28"/>
      <c r="C198" s="53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</row>
    <row r="199" spans="1:42">
      <c r="A199" s="25"/>
      <c r="B199" s="28"/>
      <c r="C199" s="53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</row>
    <row r="200" spans="1:42">
      <c r="A200" s="25"/>
      <c r="B200" s="28"/>
      <c r="C200" s="53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</row>
    <row r="201" spans="1:42">
      <c r="A201" s="25"/>
      <c r="B201" s="28"/>
      <c r="C201" s="53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</row>
    <row r="202" spans="1:42">
      <c r="A202" s="25"/>
      <c r="B202" s="28"/>
      <c r="C202" s="53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</row>
    <row r="203" spans="1:42">
      <c r="A203" s="25"/>
      <c r="B203" s="28"/>
      <c r="C203" s="53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</row>
    <row r="204" spans="1:42">
      <c r="A204" s="25"/>
      <c r="B204" s="28"/>
      <c r="C204" s="53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</row>
    <row r="205" spans="1:42">
      <c r="A205" s="25"/>
      <c r="B205" s="28"/>
      <c r="C205" s="53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</row>
    <row r="206" spans="1:42">
      <c r="A206" s="25"/>
      <c r="B206" s="28"/>
      <c r="C206" s="53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</row>
    <row r="207" spans="1:42">
      <c r="A207" s="25"/>
      <c r="B207" s="28"/>
      <c r="C207" s="53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</row>
    <row r="208" spans="1:42">
      <c r="A208" s="25"/>
      <c r="B208" s="28"/>
      <c r="C208" s="53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</row>
    <row r="209" spans="1:42">
      <c r="A209" s="25"/>
      <c r="B209" s="28"/>
      <c r="C209" s="53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</row>
    <row r="210" spans="1:42">
      <c r="A210" s="25"/>
      <c r="B210" s="28"/>
      <c r="C210" s="53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</row>
    <row r="211" spans="1:42">
      <c r="A211" s="25"/>
      <c r="B211" s="28"/>
      <c r="C211" s="53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</row>
    <row r="212" spans="1:42">
      <c r="A212" s="25"/>
      <c r="B212" s="28"/>
      <c r="C212" s="53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</row>
    <row r="213" spans="1:42">
      <c r="A213" s="25"/>
      <c r="B213" s="28"/>
      <c r="C213" s="53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</row>
    <row r="214" spans="1:42">
      <c r="A214" s="25"/>
      <c r="B214" s="28"/>
      <c r="C214" s="53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</row>
    <row r="215" spans="1:42">
      <c r="A215" s="25"/>
      <c r="B215" s="28"/>
      <c r="C215" s="53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</row>
    <row r="216" spans="1:42">
      <c r="A216" s="25"/>
      <c r="B216" s="28"/>
      <c r="C216" s="53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</row>
    <row r="217" spans="1:42">
      <c r="A217" s="25"/>
      <c r="B217" s="28"/>
      <c r="C217" s="53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</row>
    <row r="218" spans="1:42">
      <c r="A218" s="25"/>
      <c r="B218" s="28"/>
      <c r="C218" s="53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</row>
    <row r="219" spans="1:42">
      <c r="A219" s="25"/>
      <c r="B219" s="28"/>
      <c r="C219" s="53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</row>
    <row r="220" spans="1:42">
      <c r="A220" s="25"/>
      <c r="B220" s="28"/>
      <c r="C220" s="53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</row>
    <row r="221" spans="1:42">
      <c r="A221" s="25"/>
      <c r="B221" s="28"/>
      <c r="C221" s="53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</row>
    <row r="222" spans="1:42">
      <c r="A222" s="25"/>
      <c r="B222" s="28"/>
      <c r="C222" s="53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</row>
    <row r="223" spans="1:42">
      <c r="A223" s="25"/>
      <c r="B223" s="28"/>
      <c r="C223" s="53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</row>
    <row r="224" spans="1:42">
      <c r="A224" s="25"/>
      <c r="B224" s="28"/>
      <c r="C224" s="53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</row>
    <row r="225" spans="1:42">
      <c r="A225" s="25"/>
      <c r="B225" s="28"/>
      <c r="C225" s="53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</row>
    <row r="226" spans="1:42">
      <c r="A226" s="25"/>
      <c r="B226" s="28"/>
      <c r="C226" s="53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</row>
    <row r="227" spans="1:42">
      <c r="A227" s="25"/>
      <c r="B227" s="28"/>
      <c r="C227" s="53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</row>
    <row r="228" spans="1:42">
      <c r="A228" s="25"/>
      <c r="B228" s="28"/>
      <c r="C228" s="53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</row>
    <row r="229" spans="1:42">
      <c r="A229" s="25"/>
      <c r="B229" s="28"/>
      <c r="C229" s="53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</row>
    <row r="230" spans="1:42">
      <c r="A230" s="25"/>
      <c r="B230" s="28"/>
      <c r="C230" s="53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</row>
    <row r="231" spans="1:42">
      <c r="A231" s="25"/>
      <c r="B231" s="28"/>
      <c r="C231" s="53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</row>
    <row r="232" spans="1:42">
      <c r="A232" s="25"/>
      <c r="B232" s="28"/>
      <c r="C232" s="53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</row>
    <row r="233" spans="1:42">
      <c r="A233" s="25"/>
      <c r="B233" s="28"/>
      <c r="C233" s="53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</row>
    <row r="234" spans="1:42">
      <c r="A234" s="25"/>
      <c r="B234" s="28"/>
      <c r="C234" s="53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</row>
    <row r="235" spans="1:42">
      <c r="A235" s="25"/>
      <c r="B235" s="28"/>
      <c r="C235" s="53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</row>
    <row r="236" spans="1:42">
      <c r="A236" s="25"/>
      <c r="B236" s="28"/>
      <c r="C236" s="53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</row>
    <row r="237" spans="1:42">
      <c r="A237" s="25"/>
      <c r="B237" s="28"/>
      <c r="C237" s="53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</row>
    <row r="238" spans="1:42">
      <c r="A238" s="25"/>
      <c r="B238" s="28"/>
      <c r="C238" s="53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</row>
    <row r="239" spans="1:42">
      <c r="A239" s="25"/>
      <c r="B239" s="28"/>
      <c r="C239" s="53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</row>
    <row r="240" spans="1:42">
      <c r="A240" s="25"/>
      <c r="B240" s="28"/>
      <c r="C240" s="53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</row>
    <row r="241" spans="1:42">
      <c r="A241" s="25"/>
      <c r="B241" s="28"/>
      <c r="C241" s="53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</row>
    <row r="242" spans="1:42">
      <c r="A242" s="25"/>
      <c r="B242" s="28"/>
      <c r="C242" s="53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</row>
    <row r="243" spans="1:42">
      <c r="A243" s="25"/>
      <c r="B243" s="28"/>
      <c r="C243" s="53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</row>
    <row r="244" spans="1:42">
      <c r="A244" s="25"/>
      <c r="B244" s="28"/>
      <c r="C244" s="53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</row>
    <row r="245" spans="1:42">
      <c r="A245" s="25"/>
      <c r="B245" s="28"/>
      <c r="C245" s="53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</row>
    <row r="246" spans="1:42">
      <c r="A246" s="25"/>
      <c r="B246" s="28"/>
      <c r="C246" s="53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</row>
    <row r="247" spans="1:42">
      <c r="A247" s="25"/>
      <c r="B247" s="28"/>
      <c r="C247" s="53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</row>
    <row r="248" spans="1:42">
      <c r="A248" s="25"/>
      <c r="B248" s="28"/>
      <c r="C248" s="53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</row>
    <row r="249" spans="1:42">
      <c r="A249" s="25"/>
      <c r="B249" s="28"/>
      <c r="C249" s="53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</row>
    <row r="250" spans="1:42">
      <c r="A250" s="25"/>
      <c r="B250" s="28"/>
      <c r="C250" s="53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</row>
    <row r="251" spans="1:42">
      <c r="A251" s="25"/>
      <c r="B251" s="28"/>
      <c r="C251" s="53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</row>
    <row r="252" spans="1:42">
      <c r="A252" s="25"/>
      <c r="B252" s="28"/>
      <c r="C252" s="53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</row>
    <row r="253" spans="1:42">
      <c r="A253" s="25"/>
      <c r="B253" s="28"/>
      <c r="C253" s="53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</row>
    <row r="254" spans="1:42">
      <c r="A254" s="25"/>
      <c r="B254" s="28"/>
      <c r="C254" s="53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</row>
    <row r="255" spans="1:42">
      <c r="A255" s="25"/>
      <c r="B255" s="28"/>
      <c r="C255" s="53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</row>
    <row r="256" spans="1:42">
      <c r="A256" s="25"/>
      <c r="B256" s="28"/>
      <c r="C256" s="53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</row>
    <row r="257" spans="1:42">
      <c r="A257" s="25"/>
      <c r="B257" s="28"/>
      <c r="C257" s="53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</row>
    <row r="258" spans="1:42">
      <c r="A258" s="25"/>
      <c r="B258" s="28"/>
      <c r="C258" s="53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</row>
    <row r="259" spans="1:42">
      <c r="A259" s="25"/>
      <c r="B259" s="28"/>
      <c r="C259" s="53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</row>
    <row r="260" spans="1:42">
      <c r="A260" s="25"/>
      <c r="B260" s="28"/>
      <c r="C260" s="53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</row>
    <row r="261" spans="1:42">
      <c r="A261" s="25"/>
      <c r="B261" s="28"/>
      <c r="C261" s="53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</row>
    <row r="262" spans="1:42">
      <c r="A262" s="25"/>
      <c r="B262" s="28"/>
      <c r="C262" s="53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</row>
    <row r="263" spans="1:42">
      <c r="A263" s="25"/>
      <c r="B263" s="28"/>
      <c r="C263" s="53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</row>
    <row r="264" spans="1:42">
      <c r="A264" s="25"/>
      <c r="B264" s="28"/>
      <c r="C264" s="53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</row>
    <row r="265" spans="1:42">
      <c r="A265" s="25"/>
      <c r="B265" s="28"/>
      <c r="C265" s="53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</row>
    <row r="266" spans="1:42">
      <c r="A266" s="25"/>
      <c r="B266" s="28"/>
      <c r="C266" s="53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</row>
    <row r="267" spans="1:42">
      <c r="A267" s="25"/>
      <c r="B267" s="28"/>
      <c r="C267" s="53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</row>
    <row r="268" spans="1:42">
      <c r="A268" s="25"/>
      <c r="B268" s="28"/>
      <c r="C268" s="53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</row>
    <row r="269" spans="1:42">
      <c r="A269" s="25"/>
      <c r="B269" s="28"/>
      <c r="C269" s="53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</row>
    <row r="270" spans="1:42">
      <c r="A270" s="25"/>
      <c r="B270" s="28"/>
      <c r="C270" s="53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</row>
    <row r="271" spans="1:42">
      <c r="A271" s="25"/>
      <c r="B271" s="28"/>
      <c r="C271" s="53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</row>
    <row r="272" spans="1:42">
      <c r="A272" s="25"/>
      <c r="B272" s="28"/>
      <c r="C272" s="53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</row>
    <row r="273" spans="1:42">
      <c r="A273" s="25"/>
      <c r="B273" s="28"/>
      <c r="C273" s="53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</row>
    <row r="274" spans="1:42">
      <c r="A274" s="25"/>
      <c r="B274" s="28"/>
      <c r="C274" s="53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</row>
    <row r="275" spans="1:42">
      <c r="A275" s="25"/>
      <c r="B275" s="28"/>
      <c r="C275" s="53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</row>
    <row r="276" spans="1:42">
      <c r="A276" s="25"/>
      <c r="B276" s="28"/>
      <c r="C276" s="53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</row>
    <row r="277" spans="1:42">
      <c r="A277" s="25"/>
      <c r="B277" s="28"/>
      <c r="C277" s="53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</row>
    <row r="278" spans="1:42">
      <c r="A278" s="25"/>
      <c r="B278" s="28"/>
      <c r="C278" s="53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</row>
    <row r="279" spans="1:42">
      <c r="A279" s="25"/>
      <c r="B279" s="28"/>
      <c r="C279" s="53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</row>
    <row r="280" spans="1:42">
      <c r="A280" s="25"/>
      <c r="B280" s="28"/>
      <c r="C280" s="53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</row>
    <row r="281" spans="1:42">
      <c r="A281" s="25"/>
      <c r="B281" s="28"/>
      <c r="C281" s="53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</row>
    <row r="282" spans="1:42">
      <c r="A282" s="25"/>
      <c r="B282" s="28"/>
      <c r="C282" s="53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</row>
    <row r="283" spans="1:42">
      <c r="A283" s="25"/>
      <c r="B283" s="28"/>
      <c r="C283" s="53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</row>
    <row r="284" spans="1:42">
      <c r="A284" s="25"/>
      <c r="B284" s="28"/>
      <c r="C284" s="53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</row>
    <row r="285" spans="1:42">
      <c r="A285" s="25"/>
      <c r="B285" s="28"/>
      <c r="C285" s="53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</row>
    <row r="286" spans="1:42">
      <c r="A286" s="25"/>
      <c r="B286" s="28"/>
      <c r="C286" s="53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</row>
    <row r="287" spans="1:42">
      <c r="A287" s="25"/>
      <c r="B287" s="28"/>
      <c r="C287" s="53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</row>
    <row r="288" spans="1:42">
      <c r="A288" s="25"/>
      <c r="B288" s="28"/>
      <c r="C288" s="53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</row>
    <row r="289" spans="1:42">
      <c r="A289" s="25"/>
      <c r="B289" s="28"/>
      <c r="C289" s="53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</row>
    <row r="290" spans="1:42">
      <c r="A290" s="25"/>
      <c r="B290" s="28"/>
      <c r="C290" s="53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</row>
    <row r="291" spans="1:42">
      <c r="A291" s="25"/>
      <c r="B291" s="28"/>
      <c r="C291" s="53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</row>
    <row r="292" spans="1:42">
      <c r="A292" s="25"/>
      <c r="B292" s="28"/>
      <c r="C292" s="53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</row>
    <row r="293" spans="1:42">
      <c r="A293" s="25"/>
      <c r="B293" s="28"/>
      <c r="C293" s="53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</row>
    <row r="294" spans="1:42">
      <c r="A294" s="25"/>
      <c r="B294" s="28"/>
      <c r="C294" s="53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</row>
    <row r="295" spans="1:42">
      <c r="A295" s="25"/>
      <c r="B295" s="28"/>
      <c r="C295" s="53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</row>
    <row r="296" spans="1:42">
      <c r="A296" s="25"/>
      <c r="B296" s="28"/>
      <c r="C296" s="53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</row>
    <row r="297" spans="1:42">
      <c r="A297" s="25"/>
      <c r="B297" s="28"/>
      <c r="C297" s="53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</row>
    <row r="298" spans="1:42">
      <c r="A298" s="25"/>
      <c r="B298" s="28"/>
      <c r="C298" s="53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</row>
    <row r="299" spans="1:42">
      <c r="A299" s="25"/>
      <c r="B299" s="28"/>
      <c r="C299" s="53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</row>
    <row r="300" spans="1:42">
      <c r="A300" s="25"/>
      <c r="B300" s="28"/>
      <c r="C300" s="53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</row>
    <row r="301" spans="1:42">
      <c r="A301" s="25"/>
      <c r="B301" s="28"/>
      <c r="C301" s="53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</row>
    <row r="302" spans="1:42">
      <c r="A302" s="25"/>
      <c r="B302" s="28"/>
      <c r="C302" s="53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</row>
    <row r="303" spans="1:42">
      <c r="A303" s="25"/>
      <c r="B303" s="28"/>
      <c r="C303" s="53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</row>
    <row r="304" spans="1:42">
      <c r="A304" s="25"/>
      <c r="B304" s="28"/>
      <c r="C304" s="53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</row>
    <row r="305" spans="1:42">
      <c r="A305" s="25"/>
      <c r="B305" s="28"/>
      <c r="C305" s="53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</row>
    <row r="306" spans="1:42">
      <c r="A306" s="25"/>
      <c r="B306" s="28"/>
      <c r="C306" s="53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</row>
    <row r="307" spans="1:42">
      <c r="A307" s="25"/>
      <c r="B307" s="28"/>
      <c r="C307" s="53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</row>
    <row r="308" spans="1:42">
      <c r="A308" s="25"/>
      <c r="B308" s="28"/>
      <c r="C308" s="53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</row>
    <row r="309" spans="1:42">
      <c r="A309" s="25"/>
      <c r="B309" s="28"/>
      <c r="C309" s="53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</row>
    <row r="310" spans="1:42">
      <c r="A310" s="25"/>
      <c r="B310" s="28"/>
      <c r="C310" s="53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</row>
    <row r="311" spans="1:42">
      <c r="A311" s="25"/>
      <c r="B311" s="28"/>
      <c r="C311" s="53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</row>
    <row r="312" spans="1:42">
      <c r="A312" s="25"/>
      <c r="B312" s="28"/>
      <c r="C312" s="53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</row>
    <row r="313" spans="1:42">
      <c r="A313" s="25"/>
      <c r="B313" s="28"/>
      <c r="C313" s="53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</row>
    <row r="314" spans="1:42">
      <c r="A314" s="25"/>
      <c r="B314" s="28"/>
      <c r="C314" s="53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</row>
    <row r="315" spans="1:42">
      <c r="A315" s="25"/>
      <c r="B315" s="28"/>
      <c r="C315" s="53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</row>
    <row r="316" spans="1:42">
      <c r="A316" s="25"/>
      <c r="B316" s="28"/>
      <c r="C316" s="53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</row>
    <row r="317" spans="1:42">
      <c r="A317" s="25"/>
      <c r="B317" s="28"/>
      <c r="C317" s="53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</row>
    <row r="318" spans="1:42">
      <c r="A318" s="25"/>
      <c r="B318" s="28"/>
      <c r="C318" s="53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</row>
    <row r="319" spans="1:42">
      <c r="A319" s="25"/>
      <c r="B319" s="28"/>
      <c r="C319" s="53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</row>
    <row r="320" spans="1:42">
      <c r="A320" s="25"/>
      <c r="B320" s="28"/>
      <c r="C320" s="53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</row>
    <row r="321" spans="1:42">
      <c r="A321" s="25"/>
      <c r="B321" s="28"/>
      <c r="C321" s="53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</row>
    <row r="322" spans="1:42">
      <c r="A322" s="25"/>
      <c r="B322" s="28"/>
      <c r="C322" s="53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</row>
    <row r="323" spans="1:42">
      <c r="A323" s="25"/>
      <c r="B323" s="28"/>
      <c r="C323" s="53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</row>
    <row r="324" spans="1:42">
      <c r="A324" s="25"/>
      <c r="B324" s="28"/>
      <c r="C324" s="53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</row>
    <row r="325" spans="1:42">
      <c r="A325" s="25"/>
      <c r="B325" s="28"/>
      <c r="C325" s="53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</row>
    <row r="326" spans="1:42">
      <c r="A326" s="25"/>
      <c r="B326" s="28"/>
      <c r="C326" s="53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</row>
    <row r="327" spans="1:42">
      <c r="A327" s="25"/>
      <c r="B327" s="28"/>
      <c r="C327" s="53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</row>
    <row r="328" spans="1:42">
      <c r="A328" s="25"/>
      <c r="B328" s="28"/>
      <c r="C328" s="53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</row>
    <row r="329" spans="1:42">
      <c r="A329" s="25"/>
      <c r="B329" s="28"/>
      <c r="C329" s="53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</row>
    <row r="330" spans="1:42">
      <c r="A330" s="25"/>
      <c r="B330" s="28"/>
      <c r="C330" s="53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</row>
    <row r="331" spans="1:42">
      <c r="A331" s="25"/>
      <c r="B331" s="28"/>
      <c r="C331" s="53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</row>
    <row r="332" spans="1:42">
      <c r="A332" s="25"/>
      <c r="B332" s="28"/>
      <c r="C332" s="53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</row>
    <row r="333" spans="1:42">
      <c r="A333" s="25"/>
      <c r="B333" s="28"/>
      <c r="C333" s="53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</row>
    <row r="334" spans="1:42">
      <c r="A334" s="25"/>
      <c r="B334" s="28"/>
      <c r="C334" s="53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</row>
    <row r="335" spans="1:42">
      <c r="A335" s="25"/>
      <c r="B335" s="28"/>
      <c r="C335" s="53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</row>
    <row r="336" spans="1:42">
      <c r="A336" s="25"/>
      <c r="B336" s="28"/>
      <c r="C336" s="53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</row>
    <row r="337" spans="1:42">
      <c r="A337" s="25"/>
      <c r="B337" s="28"/>
      <c r="C337" s="53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</row>
    <row r="338" spans="1:42">
      <c r="A338" s="25"/>
      <c r="B338" s="28"/>
      <c r="C338" s="53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</row>
    <row r="339" spans="1:42">
      <c r="A339" s="25"/>
      <c r="B339" s="28"/>
      <c r="C339" s="53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</row>
    <row r="340" spans="1:42">
      <c r="A340" s="25"/>
      <c r="B340" s="28"/>
      <c r="C340" s="53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</row>
    <row r="341" spans="1:42">
      <c r="A341" s="25"/>
      <c r="B341" s="28"/>
      <c r="C341" s="53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</row>
    <row r="342" spans="1:42">
      <c r="A342" s="25"/>
      <c r="B342" s="28"/>
      <c r="C342" s="53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</row>
    <row r="343" spans="1:42">
      <c r="A343" s="25"/>
      <c r="B343" s="28"/>
      <c r="C343" s="53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</row>
    <row r="344" spans="1:42">
      <c r="A344" s="25"/>
      <c r="B344" s="28"/>
      <c r="C344" s="53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</row>
    <row r="345" spans="1:42">
      <c r="A345" s="25"/>
      <c r="B345" s="28"/>
      <c r="C345" s="53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</row>
    <row r="346" spans="1:42">
      <c r="A346" s="25"/>
      <c r="B346" s="28"/>
      <c r="C346" s="53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</row>
    <row r="347" spans="1:42">
      <c r="A347" s="25"/>
      <c r="B347" s="28"/>
      <c r="C347" s="53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</row>
    <row r="348" spans="1:42">
      <c r="A348" s="25"/>
      <c r="B348" s="28"/>
      <c r="C348" s="53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</row>
    <row r="349" spans="1:42">
      <c r="A349" s="25"/>
      <c r="B349" s="28"/>
      <c r="C349" s="53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</row>
    <row r="350" spans="1:42">
      <c r="A350" s="25"/>
      <c r="B350" s="28"/>
      <c r="C350" s="53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</row>
    <row r="351" spans="1:42">
      <c r="A351" s="25"/>
      <c r="B351" s="28"/>
      <c r="C351" s="53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</row>
    <row r="352" spans="1:42">
      <c r="A352" s="25"/>
      <c r="B352" s="28"/>
      <c r="C352" s="53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</row>
    <row r="353" spans="1:42">
      <c r="A353" s="25"/>
      <c r="B353" s="28"/>
      <c r="C353" s="53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</row>
    <row r="354" spans="1:42">
      <c r="A354" s="25"/>
      <c r="B354" s="28"/>
      <c r="C354" s="53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</row>
    <row r="355" spans="1:42">
      <c r="A355" s="25"/>
      <c r="B355" s="28"/>
      <c r="C355" s="53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</row>
    <row r="356" spans="1:42">
      <c r="A356" s="25"/>
      <c r="B356" s="28"/>
      <c r="C356" s="53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</row>
    <row r="357" spans="1:42">
      <c r="A357" s="25"/>
      <c r="B357" s="28"/>
      <c r="C357" s="53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</row>
    <row r="358" spans="1:42">
      <c r="A358" s="25"/>
      <c r="B358" s="28"/>
      <c r="C358" s="53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</row>
    <row r="359" spans="1:42">
      <c r="A359" s="25"/>
      <c r="B359" s="28"/>
      <c r="C359" s="53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</row>
    <row r="360" spans="1:42">
      <c r="A360" s="25"/>
      <c r="B360" s="28"/>
      <c r="C360" s="53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</row>
    <row r="361" spans="1:42">
      <c r="A361" s="25"/>
      <c r="B361" s="28"/>
      <c r="C361" s="53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</row>
    <row r="362" spans="1:42">
      <c r="A362" s="25"/>
      <c r="B362" s="28"/>
      <c r="C362" s="53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</row>
    <row r="363" spans="1:42">
      <c r="A363" s="25"/>
      <c r="B363" s="28"/>
      <c r="C363" s="53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</row>
    <row r="364" spans="1:42">
      <c r="A364" s="25"/>
      <c r="B364" s="28"/>
      <c r="C364" s="53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</row>
    <row r="365" spans="1:42">
      <c r="A365" s="25"/>
      <c r="B365" s="28"/>
      <c r="C365" s="53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</row>
    <row r="366" spans="1:42">
      <c r="A366" s="25"/>
      <c r="B366" s="28"/>
      <c r="C366" s="53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</row>
    <row r="367" spans="1:42">
      <c r="A367" s="25"/>
      <c r="B367" s="28"/>
      <c r="C367" s="53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</row>
    <row r="368" spans="1:42">
      <c r="A368" s="25"/>
      <c r="B368" s="28"/>
      <c r="C368" s="53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</row>
    <row r="369" spans="1:42">
      <c r="A369" s="25"/>
      <c r="B369" s="28"/>
      <c r="C369" s="53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</row>
    <row r="370" spans="1:42">
      <c r="A370" s="25"/>
      <c r="B370" s="28"/>
      <c r="C370" s="53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</row>
    <row r="371" spans="1:42">
      <c r="A371" s="25"/>
      <c r="B371" s="28"/>
      <c r="C371" s="53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</row>
    <row r="372" spans="1:42">
      <c r="A372" s="25"/>
      <c r="B372" s="28"/>
      <c r="C372" s="53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</row>
    <row r="373" spans="1:42">
      <c r="A373" s="25"/>
      <c r="B373" s="28"/>
      <c r="C373" s="53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</row>
    <row r="374" spans="1:42">
      <c r="A374" s="25"/>
      <c r="B374" s="28"/>
      <c r="C374" s="53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</row>
    <row r="375" spans="1:42">
      <c r="A375" s="25"/>
      <c r="B375" s="28"/>
      <c r="C375" s="53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</row>
    <row r="376" spans="1:42">
      <c r="A376" s="25"/>
      <c r="B376" s="28"/>
      <c r="C376" s="53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</row>
    <row r="377" spans="1:42">
      <c r="A377" s="25"/>
      <c r="B377" s="28"/>
      <c r="C377" s="53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</row>
    <row r="378" spans="1:42">
      <c r="A378" s="25"/>
      <c r="B378" s="28"/>
      <c r="C378" s="53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</row>
    <row r="379" spans="1:42">
      <c r="A379" s="25"/>
      <c r="B379" s="28"/>
      <c r="C379" s="53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</row>
    <row r="380" spans="1:42">
      <c r="A380" s="25"/>
      <c r="B380" s="28"/>
      <c r="C380" s="53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</row>
    <row r="381" spans="1:42">
      <c r="A381" s="25"/>
      <c r="B381" s="28"/>
      <c r="C381" s="53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</row>
    <row r="382" spans="1:42">
      <c r="A382" s="25"/>
      <c r="B382" s="28"/>
      <c r="C382" s="53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</row>
    <row r="383" spans="1:42">
      <c r="A383" s="25"/>
      <c r="B383" s="28"/>
      <c r="C383" s="53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</row>
    <row r="384" spans="1:42">
      <c r="A384" s="25"/>
      <c r="B384" s="28"/>
      <c r="C384" s="53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</row>
    <row r="385" spans="1:42">
      <c r="A385" s="25"/>
      <c r="B385" s="28"/>
      <c r="C385" s="53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</row>
    <row r="386" spans="1:42">
      <c r="A386" s="25"/>
      <c r="B386" s="28"/>
      <c r="C386" s="53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</row>
    <row r="387" spans="1:42">
      <c r="A387" s="25"/>
      <c r="B387" s="28"/>
      <c r="C387" s="53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</row>
    <row r="388" spans="1:42">
      <c r="A388" s="25"/>
      <c r="B388" s="28"/>
      <c r="C388" s="53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</row>
    <row r="389" spans="1:42">
      <c r="A389" s="25"/>
      <c r="B389" s="28"/>
      <c r="C389" s="53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</row>
    <row r="390" spans="1:42">
      <c r="A390" s="25"/>
      <c r="B390" s="28"/>
      <c r="C390" s="53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</row>
    <row r="391" spans="1:42">
      <c r="A391" s="25"/>
      <c r="B391" s="28"/>
      <c r="C391" s="53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</row>
    <row r="392" spans="1:42">
      <c r="A392" s="25"/>
      <c r="B392" s="28"/>
      <c r="C392" s="53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</row>
    <row r="393" spans="1:42">
      <c r="A393" s="25"/>
      <c r="B393" s="28"/>
      <c r="C393" s="53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</row>
    <row r="394" spans="1:42">
      <c r="A394" s="25"/>
      <c r="B394" s="28"/>
      <c r="C394" s="53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</row>
    <row r="395" spans="1:42">
      <c r="A395" s="25"/>
      <c r="B395" s="28"/>
      <c r="C395" s="53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</row>
    <row r="396" spans="1:42">
      <c r="A396" s="25"/>
      <c r="B396" s="28"/>
      <c r="C396" s="53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</row>
    <row r="397" spans="1:42">
      <c r="A397" s="25"/>
      <c r="B397" s="28"/>
      <c r="C397" s="53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</row>
    <row r="398" spans="1:42">
      <c r="A398" s="25"/>
      <c r="B398" s="28"/>
      <c r="C398" s="53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</row>
    <row r="399" spans="1:42">
      <c r="A399" s="25"/>
      <c r="B399" s="28"/>
      <c r="C399" s="53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</row>
    <row r="400" spans="1:42">
      <c r="A400" s="25"/>
      <c r="B400" s="28"/>
      <c r="C400" s="53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</row>
    <row r="401" spans="1:42">
      <c r="A401" s="25"/>
      <c r="B401" s="28"/>
      <c r="C401" s="53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</row>
    <row r="402" spans="1:42">
      <c r="A402" s="25"/>
      <c r="B402" s="28"/>
      <c r="C402" s="53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</row>
    <row r="403" spans="1:42">
      <c r="A403" s="25"/>
      <c r="B403" s="28"/>
      <c r="C403" s="53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</row>
    <row r="404" spans="1:42">
      <c r="A404" s="25"/>
      <c r="B404" s="28"/>
      <c r="C404" s="53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</row>
    <row r="405" spans="1:42">
      <c r="A405" s="25"/>
      <c r="B405" s="28"/>
      <c r="C405" s="53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</row>
    <row r="406" spans="1:42">
      <c r="A406" s="25"/>
      <c r="B406" s="28"/>
      <c r="C406" s="53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</row>
    <row r="407" spans="1:42">
      <c r="A407" s="25"/>
      <c r="B407" s="28"/>
      <c r="C407" s="53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</row>
    <row r="408" spans="1:42">
      <c r="A408" s="25"/>
      <c r="B408" s="28"/>
      <c r="C408" s="53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</row>
    <row r="409" spans="1:42">
      <c r="A409" s="25"/>
      <c r="B409" s="28"/>
      <c r="C409" s="53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</row>
    <row r="410" spans="1:42">
      <c r="A410" s="25"/>
      <c r="B410" s="28"/>
      <c r="C410" s="53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</row>
    <row r="411" spans="1:42">
      <c r="A411" s="25"/>
      <c r="B411" s="28"/>
      <c r="C411" s="53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</row>
    <row r="412" spans="1:42">
      <c r="A412" s="25"/>
      <c r="B412" s="28"/>
      <c r="C412" s="53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</row>
    <row r="413" spans="1:42">
      <c r="A413" s="25"/>
      <c r="B413" s="28"/>
      <c r="C413" s="53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</row>
    <row r="414" spans="1:42">
      <c r="A414" s="25"/>
      <c r="B414" s="28"/>
      <c r="C414" s="53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</row>
    <row r="415" spans="1:42">
      <c r="A415" s="25"/>
      <c r="B415" s="28"/>
      <c r="C415" s="53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</row>
    <row r="416" spans="1:42">
      <c r="A416" s="25"/>
      <c r="B416" s="28"/>
      <c r="C416" s="53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</row>
    <row r="417" spans="1:42">
      <c r="A417" s="25"/>
      <c r="B417" s="28"/>
      <c r="C417" s="53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</row>
    <row r="418" spans="1:42">
      <c r="A418" s="25"/>
      <c r="B418" s="28"/>
      <c r="C418" s="53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</row>
    <row r="419" spans="1:42">
      <c r="A419" s="25"/>
      <c r="B419" s="28"/>
      <c r="C419" s="53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</row>
    <row r="420" spans="1:42">
      <c r="A420" s="25"/>
      <c r="B420" s="28"/>
      <c r="C420" s="53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</row>
    <row r="421" spans="1:42">
      <c r="A421" s="25"/>
      <c r="B421" s="28"/>
      <c r="C421" s="53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</row>
    <row r="422" spans="1:42">
      <c r="A422" s="25"/>
      <c r="B422" s="28"/>
      <c r="C422" s="53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</row>
    <row r="423" spans="1:42">
      <c r="A423" s="25"/>
      <c r="B423" s="28"/>
      <c r="C423" s="53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</row>
    <row r="424" spans="1:42">
      <c r="A424" s="25"/>
      <c r="B424" s="28"/>
      <c r="C424" s="53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</row>
    <row r="425" spans="1:42">
      <c r="A425" s="25"/>
      <c r="B425" s="28"/>
      <c r="C425" s="53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</row>
    <row r="426" spans="1:42">
      <c r="A426" s="25"/>
      <c r="B426" s="28"/>
      <c r="C426" s="53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</row>
    <row r="427" spans="1:42">
      <c r="A427" s="25"/>
      <c r="B427" s="28"/>
      <c r="C427" s="53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</row>
    <row r="428" spans="1:42">
      <c r="A428" s="25"/>
      <c r="B428" s="28"/>
      <c r="C428" s="53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</row>
    <row r="429" spans="1:42">
      <c r="A429" s="25"/>
      <c r="B429" s="28"/>
      <c r="C429" s="53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</row>
    <row r="430" spans="1:42">
      <c r="A430" s="25"/>
      <c r="B430" s="28"/>
      <c r="C430" s="53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</row>
    <row r="431" spans="1:42">
      <c r="A431" s="25"/>
      <c r="B431" s="28"/>
      <c r="C431" s="53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</row>
    <row r="432" spans="1:42">
      <c r="A432" s="25"/>
      <c r="B432" s="28"/>
      <c r="C432" s="53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</row>
    <row r="433" spans="1:42">
      <c r="A433" s="25"/>
      <c r="B433" s="28"/>
      <c r="C433" s="53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</row>
    <row r="434" spans="1:42">
      <c r="A434" s="25"/>
      <c r="B434" s="28"/>
      <c r="C434" s="53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</row>
    <row r="435" spans="1:42">
      <c r="A435" s="25"/>
      <c r="B435" s="28"/>
      <c r="C435" s="53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</row>
    <row r="436" spans="1:42">
      <c r="A436" s="25"/>
      <c r="B436" s="28"/>
      <c r="C436" s="53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</row>
    <row r="437" spans="1:42">
      <c r="A437" s="25"/>
      <c r="B437" s="28"/>
      <c r="C437" s="53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</row>
    <row r="438" spans="1:42">
      <c r="A438" s="25"/>
      <c r="B438" s="28"/>
      <c r="C438" s="53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</row>
    <row r="439" spans="1:42">
      <c r="A439" s="25"/>
      <c r="B439" s="28"/>
      <c r="C439" s="53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</row>
    <row r="440" spans="1:42">
      <c r="A440" s="25"/>
      <c r="B440" s="28"/>
      <c r="C440" s="53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</row>
    <row r="441" spans="1:42">
      <c r="A441" s="25"/>
      <c r="B441" s="28"/>
      <c r="C441" s="53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</row>
    <row r="442" spans="1:42">
      <c r="A442" s="25"/>
      <c r="B442" s="28"/>
      <c r="C442" s="53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</row>
    <row r="443" spans="1:42">
      <c r="A443" s="25"/>
      <c r="B443" s="28"/>
      <c r="C443" s="53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</row>
    <row r="444" spans="1:42">
      <c r="A444" s="25"/>
      <c r="B444" s="28"/>
      <c r="C444" s="53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</row>
    <row r="445" spans="1:42">
      <c r="A445" s="25"/>
      <c r="B445" s="28"/>
      <c r="C445" s="53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</row>
    <row r="446" spans="1:42">
      <c r="A446" s="25"/>
      <c r="B446" s="28"/>
      <c r="C446" s="53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</row>
    <row r="447" spans="1:42">
      <c r="A447" s="25"/>
      <c r="B447" s="28"/>
      <c r="C447" s="53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</row>
    <row r="448" spans="1:42">
      <c r="A448" s="25"/>
      <c r="B448" s="28"/>
      <c r="C448" s="53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</row>
    <row r="449" spans="1:42">
      <c r="A449" s="25"/>
      <c r="B449" s="28"/>
      <c r="C449" s="53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</row>
    <row r="450" spans="1:42">
      <c r="A450" s="25"/>
      <c r="B450" s="28"/>
      <c r="C450" s="53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</row>
    <row r="451" spans="1:42">
      <c r="A451" s="25"/>
      <c r="B451" s="28"/>
      <c r="C451" s="53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</row>
    <row r="452" spans="1:42">
      <c r="A452" s="25"/>
      <c r="B452" s="28"/>
      <c r="C452" s="53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</row>
    <row r="453" spans="1:42">
      <c r="A453" s="25"/>
      <c r="B453" s="28"/>
      <c r="C453" s="53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</row>
    <row r="454" spans="1:42">
      <c r="A454" s="25"/>
      <c r="B454" s="28"/>
      <c r="C454" s="53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</row>
    <row r="455" spans="1:42">
      <c r="A455" s="25"/>
      <c r="B455" s="28"/>
      <c r="C455" s="53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</row>
    <row r="456" spans="1:42">
      <c r="A456" s="25"/>
      <c r="B456" s="28"/>
      <c r="C456" s="53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</row>
    <row r="457" spans="1:42">
      <c r="A457" s="25"/>
      <c r="B457" s="28"/>
      <c r="C457" s="53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</row>
    <row r="458" spans="1:42">
      <c r="A458" s="25"/>
      <c r="B458" s="28"/>
      <c r="C458" s="53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</row>
    <row r="459" spans="1:42">
      <c r="A459" s="25"/>
      <c r="B459" s="28"/>
      <c r="C459" s="53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</row>
    <row r="460" spans="1:42">
      <c r="A460" s="25"/>
      <c r="B460" s="28"/>
      <c r="C460" s="53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</row>
    <row r="461" spans="1:42">
      <c r="A461" s="25"/>
      <c r="B461" s="28"/>
      <c r="C461" s="53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</row>
    <row r="462" spans="1:42">
      <c r="A462" s="25"/>
      <c r="B462" s="28"/>
      <c r="C462" s="53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</row>
    <row r="463" spans="1:42">
      <c r="A463" s="25"/>
      <c r="B463" s="28"/>
      <c r="C463" s="53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</row>
    <row r="464" spans="1:42">
      <c r="A464" s="25"/>
      <c r="B464" s="28"/>
      <c r="C464" s="53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</row>
    <row r="465" spans="1:42">
      <c r="A465" s="25"/>
      <c r="B465" s="28"/>
      <c r="C465" s="53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</row>
    <row r="466" spans="1:42">
      <c r="A466" s="25"/>
      <c r="B466" s="28"/>
      <c r="C466" s="53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</row>
    <row r="467" spans="1:42">
      <c r="A467" s="25"/>
      <c r="B467" s="28"/>
      <c r="C467" s="53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</row>
    <row r="468" spans="1:42">
      <c r="A468" s="25"/>
      <c r="B468" s="28"/>
      <c r="C468" s="53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</row>
    <row r="469" spans="1:42">
      <c r="A469" s="25"/>
      <c r="B469" s="28"/>
      <c r="C469" s="53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</row>
    <row r="470" spans="1:42">
      <c r="A470" s="25"/>
      <c r="B470" s="28"/>
      <c r="C470" s="53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</row>
    <row r="471" spans="1:42">
      <c r="A471" s="25"/>
      <c r="B471" s="28"/>
      <c r="C471" s="53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</row>
    <row r="472" spans="1:42">
      <c r="A472" s="25"/>
      <c r="B472" s="28"/>
      <c r="C472" s="53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</row>
    <row r="473" spans="1:42">
      <c r="A473" s="25"/>
      <c r="B473" s="28"/>
      <c r="C473" s="53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</row>
    <row r="474" spans="1:42">
      <c r="A474" s="25"/>
      <c r="B474" s="28"/>
      <c r="C474" s="53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</row>
    <row r="475" spans="1:42">
      <c r="A475" s="25"/>
      <c r="B475" s="28"/>
      <c r="C475" s="53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</row>
    <row r="476" spans="1:42">
      <c r="A476" s="25"/>
      <c r="B476" s="28"/>
      <c r="C476" s="53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</row>
    <row r="477" spans="1:42">
      <c r="A477" s="25"/>
      <c r="B477" s="28"/>
      <c r="C477" s="53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</row>
    <row r="478" spans="1:42">
      <c r="A478" s="25"/>
      <c r="B478" s="28"/>
      <c r="C478" s="53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</row>
    <row r="479" spans="1:42">
      <c r="A479" s="25"/>
      <c r="B479" s="28"/>
      <c r="C479" s="53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</row>
    <row r="480" spans="1:42">
      <c r="A480" s="25"/>
      <c r="B480" s="28"/>
      <c r="C480" s="53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</row>
    <row r="481" spans="1:42">
      <c r="A481" s="25"/>
      <c r="B481" s="28"/>
      <c r="C481" s="53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</row>
    <row r="482" spans="1:42">
      <c r="A482" s="25"/>
      <c r="B482" s="28"/>
      <c r="C482" s="53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</row>
    <row r="483" spans="1:42">
      <c r="A483" s="25"/>
      <c r="B483" s="28"/>
      <c r="C483" s="53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</row>
    <row r="484" spans="1:42">
      <c r="A484" s="25"/>
      <c r="B484" s="28"/>
      <c r="C484" s="53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</row>
    <row r="485" spans="1:42">
      <c r="A485" s="25"/>
      <c r="B485" s="28"/>
      <c r="C485" s="53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</row>
    <row r="486" spans="1:42">
      <c r="A486" s="25"/>
      <c r="B486" s="28"/>
      <c r="C486" s="53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</row>
    <row r="487" spans="1:42">
      <c r="A487" s="25"/>
      <c r="B487" s="28"/>
      <c r="C487" s="53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</row>
    <row r="488" spans="1:42">
      <c r="A488" s="25"/>
      <c r="B488" s="28"/>
      <c r="C488" s="53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</row>
    <row r="489" spans="1:42">
      <c r="A489" s="25"/>
      <c r="B489" s="28"/>
      <c r="C489" s="53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</row>
    <row r="490" spans="1:42">
      <c r="A490" s="25"/>
      <c r="B490" s="28"/>
      <c r="C490" s="53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</row>
    <row r="491" spans="1:42">
      <c r="A491" s="25"/>
      <c r="B491" s="28"/>
      <c r="C491" s="53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</row>
    <row r="492" spans="1:42">
      <c r="A492" s="25"/>
      <c r="B492" s="28"/>
      <c r="C492" s="53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</row>
    <row r="493" spans="1:42">
      <c r="A493" s="25"/>
      <c r="B493" s="28"/>
      <c r="C493" s="53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</row>
    <row r="494" spans="1:42">
      <c r="A494" s="25"/>
      <c r="B494" s="28"/>
      <c r="C494" s="53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</row>
    <row r="495" spans="1:42">
      <c r="A495" s="25"/>
      <c r="B495" s="28"/>
      <c r="C495" s="53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</row>
    <row r="496" spans="1:42">
      <c r="A496" s="25"/>
      <c r="B496" s="28"/>
      <c r="C496" s="53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</row>
    <row r="497" spans="1:42">
      <c r="A497" s="25"/>
      <c r="B497" s="28"/>
      <c r="C497" s="53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</row>
    <row r="498" spans="1:42">
      <c r="A498" s="25"/>
      <c r="B498" s="28"/>
      <c r="C498" s="53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</row>
    <row r="499" spans="1:42">
      <c r="A499" s="25"/>
      <c r="B499" s="28"/>
      <c r="C499" s="53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</row>
    <row r="500" spans="1:42">
      <c r="A500" s="25"/>
      <c r="B500" s="28"/>
      <c r="C500" s="53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</row>
    <row r="501" spans="1:42">
      <c r="A501" s="25"/>
      <c r="B501" s="28"/>
      <c r="C501" s="53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</row>
    <row r="502" spans="1:42">
      <c r="A502" s="25"/>
      <c r="B502" s="28"/>
      <c r="C502" s="53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</row>
    <row r="503" spans="1:42">
      <c r="A503" s="25"/>
      <c r="B503" s="28"/>
      <c r="C503" s="53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</row>
    <row r="504" spans="1:42">
      <c r="A504" s="25"/>
      <c r="B504" s="28"/>
      <c r="C504" s="53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</row>
    <row r="505" spans="1:42">
      <c r="A505" s="25"/>
      <c r="B505" s="28"/>
      <c r="C505" s="53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</row>
    <row r="506" spans="1:42">
      <c r="A506" s="25"/>
      <c r="B506" s="28"/>
      <c r="C506" s="53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</row>
    <row r="507" spans="1:42">
      <c r="A507" s="25"/>
      <c r="B507" s="28"/>
      <c r="C507" s="53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</row>
    <row r="508" spans="1:42">
      <c r="A508" s="25"/>
      <c r="B508" s="28"/>
      <c r="C508" s="53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</row>
    <row r="509" spans="1:42">
      <c r="A509" s="25"/>
      <c r="B509" s="28"/>
      <c r="C509" s="53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</row>
    <row r="510" spans="1:42">
      <c r="A510" s="25"/>
      <c r="B510" s="28"/>
      <c r="C510" s="53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</row>
    <row r="511" spans="1:42">
      <c r="A511" s="25"/>
      <c r="B511" s="28"/>
      <c r="C511" s="53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</row>
    <row r="512" spans="1:42">
      <c r="A512" s="25"/>
      <c r="B512" s="28"/>
      <c r="C512" s="53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</row>
    <row r="513" spans="1:42">
      <c r="A513" s="25"/>
      <c r="B513" s="28"/>
      <c r="C513" s="53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</row>
    <row r="514" spans="1:42">
      <c r="A514" s="25"/>
      <c r="B514" s="28"/>
      <c r="C514" s="53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</row>
    <row r="515" spans="1:42">
      <c r="A515" s="25"/>
      <c r="B515" s="28"/>
      <c r="C515" s="53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</row>
    <row r="516" spans="1:42">
      <c r="A516" s="25"/>
      <c r="B516" s="28"/>
      <c r="C516" s="53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</row>
    <row r="517" spans="1:42">
      <c r="A517" s="25"/>
      <c r="B517" s="28"/>
      <c r="C517" s="53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</row>
    <row r="518" spans="1:42">
      <c r="A518" s="25"/>
      <c r="B518" s="28"/>
      <c r="C518" s="53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</row>
    <row r="519" spans="1:42">
      <c r="A519" s="25"/>
      <c r="B519" s="28"/>
      <c r="C519" s="53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</row>
    <row r="520" spans="1:42">
      <c r="A520" s="25"/>
      <c r="B520" s="28"/>
      <c r="C520" s="53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</row>
    <row r="521" spans="1:42">
      <c r="A521" s="25"/>
      <c r="B521" s="28"/>
      <c r="C521" s="53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</row>
    <row r="522" spans="1:42">
      <c r="A522" s="25"/>
      <c r="B522" s="28"/>
      <c r="C522" s="53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</row>
    <row r="523" spans="1:42">
      <c r="A523" s="25"/>
      <c r="B523" s="28"/>
      <c r="C523" s="53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</row>
    <row r="524" spans="1:42">
      <c r="A524" s="25"/>
      <c r="B524" s="28"/>
      <c r="C524" s="53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</row>
    <row r="525" spans="1:42">
      <c r="A525" s="25"/>
      <c r="B525" s="28"/>
      <c r="C525" s="53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</row>
    <row r="526" spans="1:42">
      <c r="A526" s="25"/>
      <c r="B526" s="28"/>
      <c r="C526" s="53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</row>
    <row r="527" spans="1:42">
      <c r="A527" s="25"/>
      <c r="B527" s="28"/>
      <c r="C527" s="53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</row>
    <row r="528" spans="1:42">
      <c r="A528" s="25"/>
      <c r="B528" s="28"/>
      <c r="C528" s="53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</row>
    <row r="529" spans="1:42">
      <c r="A529" s="25"/>
      <c r="B529" s="28"/>
      <c r="C529" s="53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</row>
    <row r="530" spans="1:42">
      <c r="A530" s="25"/>
      <c r="B530" s="28"/>
      <c r="C530" s="53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</row>
    <row r="531" spans="1:42">
      <c r="A531" s="25"/>
      <c r="B531" s="28"/>
      <c r="C531" s="53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</row>
    <row r="532" spans="1:42">
      <c r="A532" s="25"/>
      <c r="B532" s="28"/>
      <c r="C532" s="53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</row>
    <row r="533" spans="1:42">
      <c r="A533" s="25"/>
      <c r="B533" s="28"/>
      <c r="C533" s="53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</row>
    <row r="534" spans="1:42">
      <c r="A534" s="25"/>
      <c r="B534" s="28"/>
      <c r="C534" s="53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</row>
    <row r="535" spans="1:42">
      <c r="A535" s="25"/>
      <c r="B535" s="28"/>
      <c r="C535" s="53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</row>
    <row r="536" spans="1:42">
      <c r="A536" s="25"/>
      <c r="B536" s="28"/>
      <c r="C536" s="53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</row>
    <row r="537" spans="1:42">
      <c r="A537" s="25"/>
      <c r="B537" s="28"/>
      <c r="C537" s="53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</row>
    <row r="538" spans="1:42">
      <c r="A538" s="25"/>
      <c r="B538" s="28"/>
      <c r="C538" s="53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</row>
    <row r="539" spans="1:42">
      <c r="A539" s="25"/>
      <c r="B539" s="28"/>
      <c r="C539" s="53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</row>
    <row r="540" spans="1:42">
      <c r="A540" s="25"/>
      <c r="B540" s="28"/>
      <c r="C540" s="53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</row>
    <row r="541" spans="1:42">
      <c r="A541" s="25"/>
      <c r="B541" s="28"/>
      <c r="C541" s="53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</row>
    <row r="542" spans="1:42">
      <c r="A542" s="25"/>
      <c r="B542" s="28"/>
      <c r="C542" s="53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</row>
    <row r="543" spans="1:42">
      <c r="A543" s="25"/>
      <c r="B543" s="28"/>
      <c r="C543" s="53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</row>
    <row r="544" spans="1:42">
      <c r="A544" s="25"/>
      <c r="B544" s="28"/>
      <c r="C544" s="53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</row>
    <row r="545" spans="1:42">
      <c r="A545" s="25"/>
      <c r="B545" s="28"/>
      <c r="C545" s="53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</row>
  </sheetData>
  <mergeCells count="1">
    <mergeCell ref="B1:D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f32a61-b1ff-4d37-b53d-5ab3c9cda7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3ED7A27F4BB54EA982EA8639E9FB7C" ma:contentTypeVersion="16" ma:contentTypeDescription="Create a new document." ma:contentTypeScope="" ma:versionID="00a4832755031e6ae5ade8244f4400e5">
  <xsd:schema xmlns:xsd="http://www.w3.org/2001/XMLSchema" xmlns:xs="http://www.w3.org/2001/XMLSchema" xmlns:p="http://schemas.microsoft.com/office/2006/metadata/properties" xmlns:ns3="8df32a61-b1ff-4d37-b53d-5ab3c9cda746" xmlns:ns4="5ac6e9ce-6001-4dcd-9fc9-689fd21ed9cd" targetNamespace="http://schemas.microsoft.com/office/2006/metadata/properties" ma:root="true" ma:fieldsID="57895874ce13ad7e66e4b59965a699c2" ns3:_="" ns4:_="">
    <xsd:import namespace="8df32a61-b1ff-4d37-b53d-5ab3c9cda746"/>
    <xsd:import namespace="5ac6e9ce-6001-4dcd-9fc9-689fd21ed9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32a61-b1ff-4d37-b53d-5ab3c9cda7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6e9ce-6001-4dcd-9fc9-689fd21ed9c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30831C-BC2A-490F-A8CA-9FDA2F28B14E}">
  <ds:schemaRefs>
    <ds:schemaRef ds:uri="http://schemas.microsoft.com/office/2006/metadata/properties"/>
    <ds:schemaRef ds:uri="http://schemas.microsoft.com/office/infopath/2007/PartnerControls"/>
    <ds:schemaRef ds:uri="8df32a61-b1ff-4d37-b53d-5ab3c9cda746"/>
  </ds:schemaRefs>
</ds:datastoreItem>
</file>

<file path=customXml/itemProps2.xml><?xml version="1.0" encoding="utf-8"?>
<ds:datastoreItem xmlns:ds="http://schemas.openxmlformats.org/officeDocument/2006/customXml" ds:itemID="{7A01CA2A-754C-4F35-9A52-771C0FED88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5E087E-B6B9-401A-BE88-2F464B53D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32a61-b1ff-4d37-b53d-5ab3c9cda746"/>
    <ds:schemaRef ds:uri="5ac6e9ce-6001-4dcd-9fc9-689fd21ed9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Cover</vt:lpstr>
      <vt:lpstr>Login</vt:lpstr>
      <vt:lpstr>Profile</vt:lpstr>
      <vt:lpstr>Product</vt:lpstr>
      <vt:lpstr>Product_Management</vt:lpstr>
      <vt:lpstr>Order</vt:lpstr>
      <vt:lpstr>voucher</vt:lpstr>
      <vt:lpstr>Promo_product</vt:lpstr>
      <vt:lpstr>Shift_log_list</vt:lpstr>
      <vt:lpstr>compliment</vt:lpstr>
      <vt:lpstr>daily_report</vt:lpstr>
      <vt:lpstr>Store_config</vt:lpstr>
      <vt:lpstr>Multiscreen</vt:lpstr>
      <vt:lpstr>scanner</vt:lpstr>
      <vt:lpstr>printer</vt:lpstr>
      <vt:lpstr>Sheet4</vt:lpstr>
      <vt:lpstr>Revision History</vt:lpstr>
      <vt:lpstr>Cover!Print_Area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Rizky Mahardika Hariyanto</cp:lastModifiedBy>
  <cp:revision/>
  <dcterms:created xsi:type="dcterms:W3CDTF">2017-08-08T03:13:09Z</dcterms:created>
  <dcterms:modified xsi:type="dcterms:W3CDTF">2026-02-03T05:07:25Z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0x0101004F3ED7A27F4BB54EA982EA8639E9FB7C</vt:lpwstr>
  </property>
  <property fmtid="{D5CDD505-2E9C-101B-9397-08002B2CF9AE}" pid="3" name="MediaServiceImageTags">
    <vt:lpwstr/>
  </property>
</Properties>
</file>