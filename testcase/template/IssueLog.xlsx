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Template Doc QA\"/>
    </mc:Choice>
  </mc:AlternateContent>
  <xr:revisionPtr revIDLastSave="0" documentId="13_ncr:1_{8A24AA8A-3485-4ADB-AC58-B3729E9FEAF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5" r:id="rId1"/>
    <sheet name="Issue LOG" sheetId="1" r:id="rId2"/>
    <sheet name="LOG  Print Screen" sheetId="3" r:id="rId3"/>
  </sheets>
  <definedNames>
    <definedName name="_xlnm._FilterDatabase" localSheetId="1" hidden="1">'Issue LOG'!$A$1:$P$34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5" l="1"/>
  <c r="B39" i="5"/>
  <c r="B37" i="5"/>
  <c r="B36" i="5"/>
  <c r="H21" i="5"/>
  <c r="G21" i="5"/>
  <c r="F21" i="5"/>
  <c r="I16" i="5"/>
  <c r="H13" i="5" s="1"/>
  <c r="F13" i="5"/>
  <c r="H31" i="5"/>
  <c r="G31" i="5"/>
  <c r="F31" i="5"/>
  <c r="H26" i="5"/>
  <c r="G26" i="5"/>
  <c r="F26" i="5"/>
  <c r="F14" i="5"/>
  <c r="F15" i="5"/>
  <c r="H30" i="5"/>
  <c r="G30" i="5"/>
  <c r="F30" i="5"/>
  <c r="H25" i="5"/>
  <c r="G25" i="5"/>
  <c r="F25" i="5"/>
  <c r="H20" i="5"/>
  <c r="G20" i="5"/>
  <c r="F20" i="5"/>
  <c r="B19" i="5"/>
  <c r="B15" i="5"/>
  <c r="B16" i="5"/>
  <c r="B14" i="5"/>
  <c r="B13" i="5"/>
  <c r="I26" i="5" l="1"/>
  <c r="G27" i="5"/>
  <c r="F16" i="5"/>
  <c r="G22" i="5"/>
  <c r="G32" i="5"/>
  <c r="I25" i="5"/>
  <c r="H22" i="5"/>
  <c r="I21" i="5"/>
  <c r="I30" i="5"/>
  <c r="H32" i="5"/>
  <c r="I20" i="5"/>
  <c r="H27" i="5"/>
  <c r="I31" i="5"/>
  <c r="F32" i="5"/>
  <c r="F27" i="5"/>
  <c r="F22" i="5"/>
  <c r="B17" i="5"/>
  <c r="B20" i="5" s="1"/>
  <c r="I27" i="5" l="1"/>
  <c r="I32" i="5"/>
  <c r="I2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</author>
  </authors>
  <commentList>
    <comment ref="I14" authorId="0" shapeId="0" xr:uid="{FF9B1B22-0280-4347-A49F-F1EFF1CCB2C4}">
      <text>
        <r>
          <rPr>
            <sz val="9"/>
            <color indexed="81"/>
            <rFont val="Tahoma"/>
            <family val="2"/>
          </rPr>
          <t xml:space="preserve">Masukkan Total Tes Case (TC) dari doc test scenario
</t>
        </r>
      </text>
    </comment>
    <comment ref="I15" authorId="0" shapeId="0" xr:uid="{D52136EB-02D0-422D-AEA1-80598AE08EBD}">
      <text>
        <r>
          <rPr>
            <sz val="9"/>
            <color indexed="81"/>
            <rFont val="Tahoma"/>
            <family val="2"/>
          </rPr>
          <t>Masukkan Tes Case Pass dari doc test scenario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Account</author>
    <author>Admin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Deskripsi Issue</t>
        </r>
      </text>
    </comment>
    <comment ref="F1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Account:
</t>
        </r>
        <r>
          <rPr>
            <sz val="9"/>
            <color indexed="81"/>
            <rFont val="Tahoma"/>
            <family val="2"/>
          </rPr>
          <t>UI - berkaitan dengan tampilan
Functional - berkaitan dengan fungsi fitur
Performance - berkaitan dengan hardware/masalah lain yang tidak diketahui sebabnya</t>
        </r>
      </text>
    </comment>
    <comment ref="G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Open- Masih dalam perbaikan
Clarify - Perlu pengetesan
Close - Issue selesai
Retest - Telah di fix. Perlu di test QA kembali
TakeOut - Case tarik</t>
        </r>
      </text>
    </comment>
    <comment ref="I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Bug: Bug thd aplikasi
New Request: Permintaan Client saat testing</t>
        </r>
      </text>
    </comment>
    <comment ref="J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Low - Issue tidak CRUCIAL
Medium - Issue tidak berdampak pada sistem keseluruhan
High - Harus diselesaikan</t>
        </r>
      </text>
    </comment>
    <comment ref="K1" authorId="0" shapeId="0" xr:uid="{613C2C84-0683-4EC5-9627-47E0E151358F}">
      <text>
        <r>
          <rPr>
            <b/>
            <sz val="9"/>
            <color indexed="81"/>
            <rFont val="Tahoma"/>
            <family val="2"/>
          </rPr>
          <t>Seveirty:</t>
        </r>
        <r>
          <rPr>
            <sz val="9"/>
            <color indexed="81"/>
            <rFont val="Tahoma"/>
            <family val="2"/>
          </rPr>
          <t xml:space="preserve">
S1-Critical : Bug yang menghalangi produk aplikasi tidak dapat melakukan utama aplikasi
S2-Major  : Kegagalan fitur/menu yang menjadi blocking ke fitur berikutnya
S3-Moderate : Bug yang tidak mempengaruhi fungsi utama aplikasi secara keseluruhan
S4-Low : Bag yang valid namun tidak ada dampak pada function. Misal ketidak sejajaran paragraf. </t>
        </r>
      </text>
    </comment>
    <comment ref="L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 xml:space="preserve">Account:
</t>
        </r>
        <r>
          <rPr>
            <sz val="9"/>
            <color indexed="81"/>
            <rFont val="Tahoma"/>
            <family val="2"/>
          </rPr>
          <t>pernyataan dari pihak yang FOLLOW UP</t>
        </r>
      </text>
    </comment>
    <comment ref="M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pihak yang menemukan issue</t>
        </r>
      </text>
    </comment>
    <comment ref="N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tanggal issue ditemukan</t>
        </r>
      </text>
    </comment>
    <comment ref="O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Pihak yang menyelesaikan issue; 
link ke nama programmer pada bagian cover
</t>
        </r>
      </text>
    </comment>
    <comment ref="P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waktu kapan issue selesai dikoreksi</t>
        </r>
      </text>
    </comment>
    <comment ref="Q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Version close.</t>
        </r>
      </text>
    </comment>
  </commentList>
</comments>
</file>

<file path=xl/sharedStrings.xml><?xml version="1.0" encoding="utf-8"?>
<sst xmlns="http://schemas.openxmlformats.org/spreadsheetml/2006/main" count="99" uniqueCount="80">
  <si>
    <t>Bug Free Percetage</t>
  </si>
  <si>
    <t>Prepared By:</t>
  </si>
  <si>
    <t>Reviewed By:</t>
  </si>
  <si>
    <t>Reviewed Date:</t>
  </si>
  <si>
    <t>Environment *)</t>
  </si>
  <si>
    <t>Approved By:</t>
  </si>
  <si>
    <t>Success</t>
  </si>
  <si>
    <t>Test Type: *)</t>
  </si>
  <si>
    <t>Approved Date:</t>
  </si>
  <si>
    <t>Function Issue</t>
  </si>
  <si>
    <t>High</t>
  </si>
  <si>
    <t>Medium</t>
  </si>
  <si>
    <t>Low</t>
  </si>
  <si>
    <t>Total</t>
  </si>
  <si>
    <t>Closed</t>
  </si>
  <si>
    <t>Status</t>
  </si>
  <si>
    <t>Open</t>
  </si>
  <si>
    <t>Open Case</t>
  </si>
  <si>
    <t>new case</t>
  </si>
  <si>
    <t>Closed Case</t>
  </si>
  <si>
    <t>Need Retest</t>
  </si>
  <si>
    <t>UI issue</t>
  </si>
  <si>
    <t>Need Clarify</t>
  </si>
  <si>
    <t>Total Case Recorded</t>
  </si>
  <si>
    <t>Open Issue by Handler</t>
  </si>
  <si>
    <t>Category</t>
  </si>
  <si>
    <t>Performance Issue</t>
  </si>
  <si>
    <t>UI</t>
  </si>
  <si>
    <t>Performance</t>
  </si>
  <si>
    <t>QA Suggestion</t>
  </si>
  <si>
    <t>Criteria</t>
  </si>
  <si>
    <t>Priority</t>
  </si>
  <si>
    <t>Updates/Answers</t>
  </si>
  <si>
    <t>Raised by</t>
  </si>
  <si>
    <t>Date Raised</t>
  </si>
  <si>
    <t>Follow up by</t>
  </si>
  <si>
    <t>Date Closed</t>
  </si>
  <si>
    <t xml:space="preserve">Project  Code: </t>
  </si>
  <si>
    <t>ISSUE LOG</t>
  </si>
  <si>
    <r>
      <rPr>
        <b/>
        <sz val="10"/>
        <color rgb="FFFF0000"/>
        <rFont val="Arial"/>
        <family val="2"/>
      </rPr>
      <t>QA</t>
    </r>
    <r>
      <rPr>
        <sz val="10"/>
        <rFont val="Arial"/>
        <family val="2"/>
      </rPr>
      <t>/ DEV / PRD / DRC</t>
    </r>
  </si>
  <si>
    <t>Internal / SIT / UAT</t>
  </si>
  <si>
    <t>[Nama QA Eng]</t>
  </si>
  <si>
    <t>Last Update:</t>
  </si>
  <si>
    <t>Version :</t>
  </si>
  <si>
    <t>App Name :</t>
  </si>
  <si>
    <t>[Nama App Hasil Compile]</t>
  </si>
  <si>
    <t>[Versi yang akan dirilis]</t>
  </si>
  <si>
    <t>[QA Manager]</t>
  </si>
  <si>
    <t>Test Pengulangan</t>
  </si>
  <si>
    <t>% case closed</t>
  </si>
  <si>
    <t>Merk dan Tipe Hardware</t>
  </si>
  <si>
    <t>`</t>
  </si>
  <si>
    <t>Total function Issue ditemukan</t>
  </si>
  <si>
    <t>Total UI Issue ditemukan</t>
  </si>
  <si>
    <t>Total Performance Issue ditemukan</t>
  </si>
  <si>
    <t>Defect Identifier</t>
  </si>
  <si>
    <t xml:space="preserve">Project Name: </t>
  </si>
  <si>
    <t>additional:</t>
  </si>
  <si>
    <t>Expected Result</t>
  </si>
  <si>
    <t>Issue Description</t>
  </si>
  <si>
    <t>Step Reproduce</t>
  </si>
  <si>
    <t>No</t>
  </si>
  <si>
    <t>Version Close (Rilis)</t>
  </si>
  <si>
    <t>Total Test Cases</t>
  </si>
  <si>
    <t xml:space="preserve">Example: 
Verifone Vx520 / Server </t>
  </si>
  <si>
    <t>[Date]</t>
  </si>
  <si>
    <t>Programmer1</t>
  </si>
  <si>
    <t>Programmer2</t>
  </si>
  <si>
    <t>Programmer</t>
  </si>
  <si>
    <t>Functional</t>
  </si>
  <si>
    <t>Severity</t>
  </si>
  <si>
    <t>Programmer3</t>
  </si>
  <si>
    <t>Programmer4</t>
  </si>
  <si>
    <t>Repetition</t>
  </si>
  <si>
    <t>TC</t>
  </si>
  <si>
    <t>Capture Screen</t>
  </si>
  <si>
    <t>Nomor Issue Log</t>
  </si>
  <si>
    <t>//diambil dari doc Test Scenario</t>
  </si>
  <si>
    <t>Remain Issue by Category</t>
  </si>
  <si>
    <t>Total Remain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</si>
</sst>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[$-409]d\-mmm\-yy;@"/>
  </numFmts>
  <fonts count="24" x14ac:knownFonts="1">
    <font>
      <sz val="10"/>
      <name val="Arial"/>
    </font>
    <font>
      <sz val="8"/>
      <name val="Arial"/>
      <family val="2"/>
    </font>
    <font>
      <b/>
      <sz val="10"/>
      <color indexed="9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2"/>
      <name val="Times New Roman"/>
      <family val="1"/>
    </font>
    <font>
      <b/>
      <sz val="12"/>
      <name val="Arial"/>
      <family val="2"/>
    </font>
    <font>
      <i/>
      <sz val="8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indexed="9"/>
      <name val="Calibri"/>
      <family val="2"/>
      <scheme val="minor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70C0"/>
      <name val="Arial"/>
      <family val="2"/>
    </font>
    <font>
      <sz val="10"/>
      <color rgb="FF0070C0"/>
      <name val="Tahoma"/>
      <family val="2"/>
    </font>
    <font>
      <sz val="10"/>
      <color rgb="FFFF0000"/>
      <name val="Tahoma"/>
      <family val="2"/>
    </font>
    <font>
      <sz val="10"/>
      <color rgb="FFFF0000"/>
      <name val="Arial"/>
      <family val="2"/>
    </font>
    <font>
      <b/>
      <sz val="10"/>
      <color theme="1"/>
      <name val="Tahoma"/>
      <family val="2"/>
    </font>
    <font>
      <sz val="10"/>
      <color theme="0" tint="-0.34998626667073579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40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7" fillId="2" borderId="3" xfId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7" fillId="2" borderId="5" xfId="0" applyFont="1" applyFill="1" applyBorder="1"/>
    <xf numFmtId="2" fontId="4" fillId="3" borderId="1" xfId="0" applyNumberFormat="1" applyFont="1" applyFill="1" applyBorder="1" applyAlignment="1">
      <alignment horizontal="left"/>
    </xf>
    <xf numFmtId="0" fontId="7" fillId="2" borderId="1" xfId="1" applyFont="1" applyFill="1" applyBorder="1"/>
    <xf numFmtId="164" fontId="4" fillId="3" borderId="6" xfId="0" applyNumberFormat="1" applyFont="1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7" fillId="2" borderId="1" xfId="1" applyFont="1" applyFill="1" applyBorder="1" applyAlignment="1">
      <alignment wrapText="1"/>
    </xf>
    <xf numFmtId="0" fontId="4" fillId="3" borderId="6" xfId="1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49" fontId="4" fillId="3" borderId="8" xfId="0" applyNumberFormat="1" applyFont="1" applyFill="1" applyBorder="1" applyAlignment="1">
      <alignment wrapText="1"/>
    </xf>
    <xf numFmtId="0" fontId="7" fillId="2" borderId="8" xfId="1" applyFont="1" applyFill="1" applyBorder="1" applyAlignment="1">
      <alignment wrapText="1"/>
    </xf>
    <xf numFmtId="164" fontId="4" fillId="3" borderId="9" xfId="0" applyNumberFormat="1" applyFont="1" applyFill="1" applyBorder="1" applyAlignment="1">
      <alignment wrapText="1"/>
    </xf>
    <xf numFmtId="0" fontId="11" fillId="0" borderId="1" xfId="0" applyFon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center"/>
    </xf>
    <xf numFmtId="0" fontId="3" fillId="5" borderId="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center"/>
    </xf>
    <xf numFmtId="0" fontId="15" fillId="0" borderId="14" xfId="0" applyFont="1" applyBorder="1" applyAlignment="1">
      <alignment horizontal="left" vertical="center"/>
    </xf>
    <xf numFmtId="0" fontId="15" fillId="0" borderId="15" xfId="0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0" fillId="0" borderId="4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9" borderId="14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center"/>
    </xf>
    <xf numFmtId="0" fontId="10" fillId="0" borderId="0" xfId="0" quotePrefix="1" applyFont="1"/>
    <xf numFmtId="0" fontId="2" fillId="4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165" fontId="2" fillId="4" borderId="10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 wrapText="1"/>
    </xf>
    <xf numFmtId="0" fontId="21" fillId="0" borderId="22" xfId="0" applyFont="1" applyBorder="1" applyAlignment="1">
      <alignment horizontal="center"/>
    </xf>
    <xf numFmtId="0" fontId="4" fillId="0" borderId="29" xfId="0" applyFont="1" applyBorder="1" applyAlignment="1">
      <alignment horizontal="right"/>
    </xf>
    <xf numFmtId="0" fontId="0" fillId="0" borderId="30" xfId="0" applyBorder="1" applyAlignment="1">
      <alignment horizontal="center"/>
    </xf>
    <xf numFmtId="0" fontId="4" fillId="0" borderId="5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4" fillId="0" borderId="7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5" xfId="0" applyBorder="1"/>
    <xf numFmtId="0" fontId="19" fillId="0" borderId="5" xfId="0" applyFont="1" applyBorder="1"/>
    <xf numFmtId="0" fontId="19" fillId="0" borderId="6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12" fillId="2" borderId="1" xfId="1" applyFont="1" applyFill="1" applyBorder="1"/>
    <xf numFmtId="0" fontId="0" fillId="0" borderId="31" xfId="0" applyBorder="1"/>
    <xf numFmtId="0" fontId="4" fillId="0" borderId="7" xfId="0" applyFont="1" applyBorder="1"/>
    <xf numFmtId="0" fontId="4" fillId="0" borderId="0" xfId="0" applyFont="1"/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7" borderId="32" xfId="0" applyFont="1" applyFill="1" applyBorder="1" applyAlignment="1">
      <alignment horizontal="center"/>
    </xf>
    <xf numFmtId="0" fontId="7" fillId="7" borderId="26" xfId="0" applyFont="1" applyFill="1" applyBorder="1" applyAlignment="1">
      <alignment horizontal="center"/>
    </xf>
    <xf numFmtId="0" fontId="12" fillId="10" borderId="17" xfId="0" applyFont="1" applyFill="1" applyBorder="1"/>
    <xf numFmtId="0" fontId="7" fillId="2" borderId="16" xfId="1" applyFont="1" applyFill="1" applyBorder="1" applyAlignment="1">
      <alignment wrapText="1"/>
    </xf>
    <xf numFmtId="0" fontId="4" fillId="3" borderId="30" xfId="1" applyFont="1" applyFill="1" applyBorder="1" applyAlignment="1">
      <alignment wrapText="1"/>
    </xf>
    <xf numFmtId="0" fontId="7" fillId="10" borderId="33" xfId="0" applyFont="1" applyFill="1" applyBorder="1" applyAlignment="1">
      <alignment vertical="center"/>
    </xf>
    <xf numFmtId="0" fontId="7" fillId="10" borderId="34" xfId="0" applyFont="1" applyFill="1" applyBorder="1" applyAlignment="1">
      <alignment vertical="center"/>
    </xf>
    <xf numFmtId="0" fontId="7" fillId="10" borderId="35" xfId="0" applyFont="1" applyFill="1" applyBorder="1" applyAlignment="1">
      <alignment vertical="center"/>
    </xf>
    <xf numFmtId="0" fontId="7" fillId="10" borderId="36" xfId="0" applyFont="1" applyFill="1" applyBorder="1" applyAlignment="1">
      <alignment vertical="center"/>
    </xf>
    <xf numFmtId="0" fontId="21" fillId="0" borderId="23" xfId="0" applyFont="1" applyBorder="1" applyAlignment="1">
      <alignment horizontal="center"/>
    </xf>
    <xf numFmtId="0" fontId="7" fillId="10" borderId="29" xfId="0" applyFont="1" applyFill="1" applyBorder="1"/>
    <xf numFmtId="0" fontId="7" fillId="0" borderId="24" xfId="0" applyFont="1" applyBorder="1"/>
    <xf numFmtId="0" fontId="4" fillId="0" borderId="24" xfId="0" applyFont="1" applyBorder="1"/>
    <xf numFmtId="0" fontId="2" fillId="11" borderId="10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4" fillId="11" borderId="10" xfId="0" applyFont="1" applyFill="1" applyBorder="1" applyAlignment="1">
      <alignment horizontal="center" vertical="center" wrapText="1"/>
    </xf>
    <xf numFmtId="165" fontId="2" fillId="11" borderId="10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7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4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2" fillId="0" borderId="1" xfId="0" applyFont="1" applyBorder="1" applyAlignment="1">
      <alignment vertical="center" wrapText="1"/>
    </xf>
    <xf numFmtId="0" fontId="0" fillId="0" borderId="1" xfId="0" applyBorder="1"/>
    <xf numFmtId="0" fontId="23" fillId="11" borderId="1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2" borderId="1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horizontal="left" wrapText="1"/>
    </xf>
    <xf numFmtId="0" fontId="4" fillId="3" borderId="18" xfId="0" applyFont="1" applyFill="1" applyBorder="1" applyAlignment="1">
      <alignment horizontal="left" wrapText="1"/>
    </xf>
    <xf numFmtId="0" fontId="7" fillId="0" borderId="11" xfId="1" applyFont="1" applyBorder="1"/>
    <xf numFmtId="0" fontId="7" fillId="0" borderId="20" xfId="1" applyFont="1" applyBorder="1"/>
    <xf numFmtId="0" fontId="4" fillId="3" borderId="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0" fillId="8" borderId="21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10" fontId="0" fillId="0" borderId="27" xfId="0" applyNumberFormat="1" applyBorder="1" applyAlignment="1">
      <alignment horizontal="center"/>
    </xf>
    <xf numFmtId="10" fontId="0" fillId="0" borderId="28" xfId="0" applyNumberFormat="1" applyBorder="1" applyAlignment="1">
      <alignment horizontal="center"/>
    </xf>
  </cellXfs>
  <cellStyles count="2">
    <cellStyle name="Normal" xfId="0" builtinId="0"/>
    <cellStyle name="Normal_SR628 - Sections and Sublmts Pipelnd" xfId="1" xr:uid="{00000000-0005-0000-0000-000001000000}"/>
  </cellStyles>
  <dxfs count="5"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color theme="7" tint="-0.24994659260841701"/>
      </font>
      <fill>
        <patternFill patternType="lightUp">
          <fgColor theme="0"/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9B2-43C5-A46D-5EF3AEC8C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B2-43C5-A46D-5EF3AEC8CA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9B2-43C5-A46D-5EF3AEC8CA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B2-43C5-A46D-5EF3AEC8CADE}"/>
              </c:ext>
            </c:extLst>
          </c:dPt>
          <c:dLbls>
            <c:dLbl>
              <c:idx val="0"/>
              <c:layout>
                <c:manualLayout>
                  <c:x val="-3.4663458743233747E-2"/>
                  <c:y val="-0.1151118019967918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B2-43C5-A46D-5EF3AEC8CA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Cover!$A$13:$A$16</c:f>
              <c:strCache>
                <c:ptCount val="4"/>
                <c:pt idx="0">
                  <c:v>Open Case</c:v>
                </c:pt>
                <c:pt idx="1">
                  <c:v>Closed Case</c:v>
                </c:pt>
                <c:pt idx="2">
                  <c:v>Need Retest</c:v>
                </c:pt>
                <c:pt idx="3">
                  <c:v>Need Clarify</c:v>
                </c:pt>
              </c:strCache>
            </c:strRef>
          </c:cat>
          <c:val>
            <c:numRef>
              <c:f>Cover!$B$13:$B$16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B2-43C5-A46D-5EF3AEC8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21</xdr:row>
      <xdr:rowOff>66675</xdr:rowOff>
    </xdr:from>
    <xdr:to>
      <xdr:col>1</xdr:col>
      <xdr:colOff>1247775</xdr:colOff>
      <xdr:row>32</xdr:row>
      <xdr:rowOff>19050</xdr:rowOff>
    </xdr:to>
    <xdr:graphicFrame macro="">
      <xdr:nvGraphicFramePr>
        <xdr:cNvPr id="5180" name="Chart 1">
          <a:extLst>
            <a:ext uri="{FF2B5EF4-FFF2-40B4-BE49-F238E27FC236}">
              <a16:creationId xmlns:a16="http://schemas.microsoft.com/office/drawing/2014/main" id="{9FD21D51-C0F1-4B0E-B523-C4B75C9D6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3"/>
  <sheetViews>
    <sheetView topLeftCell="A11" zoomScale="85" zoomScaleNormal="85" workbookViewId="0">
      <selection activeCell="E36" sqref="E36"/>
    </sheetView>
  </sheetViews>
  <sheetFormatPr defaultRowHeight="12.5" x14ac:dyDescent="0.25"/>
  <cols>
    <col min="1" max="1" width="15.1796875" bestFit="1" customWidth="1"/>
    <col min="2" max="2" width="20.1796875" bestFit="1" customWidth="1"/>
    <col min="3" max="3" width="4.453125" customWidth="1"/>
    <col min="4" max="4" width="4.54296875" customWidth="1"/>
    <col min="5" max="5" width="34" customWidth="1"/>
    <col min="6" max="6" width="14" customWidth="1"/>
    <col min="7" max="7" width="14" bestFit="1" customWidth="1"/>
    <col min="8" max="8" width="16.7265625" customWidth="1"/>
    <col min="9" max="9" width="18.1796875" customWidth="1"/>
    <col min="10" max="10" width="2.7265625" customWidth="1"/>
    <col min="12" max="12" width="14.54296875" bestFit="1" customWidth="1"/>
    <col min="13" max="13" width="13.453125" customWidth="1"/>
    <col min="14" max="14" width="26.453125" customWidth="1"/>
    <col min="15" max="17" width="7.7265625" customWidth="1"/>
    <col min="18" max="18" width="7.7265625" style="68" customWidth="1"/>
  </cols>
  <sheetData>
    <row r="1" spans="1:11" x14ac:dyDescent="0.25">
      <c r="A1" s="61"/>
      <c r="B1" s="62"/>
      <c r="C1" s="62"/>
      <c r="D1" s="62"/>
      <c r="E1" s="62"/>
      <c r="F1" s="62"/>
      <c r="G1" s="62"/>
      <c r="H1" s="62"/>
      <c r="I1" s="70"/>
      <c r="J1" s="101"/>
      <c r="K1" s="85"/>
    </row>
    <row r="2" spans="1:11" ht="16" thickBot="1" x14ac:dyDescent="0.3">
      <c r="A2" s="123" t="s">
        <v>38</v>
      </c>
      <c r="B2" s="124"/>
      <c r="C2" s="124"/>
      <c r="D2" s="124"/>
      <c r="E2" s="124"/>
      <c r="F2" s="124"/>
      <c r="G2" s="124"/>
      <c r="H2" s="124"/>
      <c r="I2" s="124"/>
      <c r="J2" s="64"/>
    </row>
    <row r="3" spans="1:11" ht="13.5" thickBot="1" x14ac:dyDescent="0.3">
      <c r="A3" s="97" t="s">
        <v>56</v>
      </c>
      <c r="B3" s="98"/>
      <c r="C3" s="99"/>
      <c r="D3" s="99"/>
      <c r="E3" s="99"/>
      <c r="F3" s="99"/>
      <c r="G3" s="99"/>
      <c r="H3" s="99"/>
      <c r="I3" s="100"/>
      <c r="J3" s="64"/>
    </row>
    <row r="4" spans="1:11" ht="13" x14ac:dyDescent="0.3">
      <c r="A4" s="102" t="s">
        <v>37</v>
      </c>
      <c r="B4" s="94"/>
      <c r="C4" s="94"/>
      <c r="D4" s="94"/>
      <c r="E4" s="95" t="s">
        <v>44</v>
      </c>
      <c r="F4" s="130" t="s">
        <v>45</v>
      </c>
      <c r="G4" s="131"/>
      <c r="H4" s="95" t="s">
        <v>1</v>
      </c>
      <c r="I4" s="96" t="s">
        <v>41</v>
      </c>
      <c r="J4" s="64"/>
    </row>
    <row r="5" spans="1:11" ht="13.5" thickBot="1" x14ac:dyDescent="0.35">
      <c r="A5" s="14"/>
      <c r="B5" s="15"/>
      <c r="C5" s="15"/>
      <c r="D5" s="15"/>
      <c r="E5" s="16" t="s">
        <v>43</v>
      </c>
      <c r="F5" s="132" t="s">
        <v>46</v>
      </c>
      <c r="G5" s="133"/>
      <c r="H5" s="84" t="s">
        <v>42</v>
      </c>
      <c r="I5" s="17" t="s">
        <v>65</v>
      </c>
      <c r="J5" s="64"/>
    </row>
    <row r="6" spans="1:11" ht="13" x14ac:dyDescent="0.3">
      <c r="A6" s="18" t="s">
        <v>4</v>
      </c>
      <c r="B6" s="19" t="s">
        <v>39</v>
      </c>
      <c r="C6" s="19"/>
      <c r="D6" s="19"/>
      <c r="E6" s="128" t="s">
        <v>50</v>
      </c>
      <c r="F6" s="134" t="s">
        <v>64</v>
      </c>
      <c r="G6" s="134"/>
      <c r="H6" s="12" t="s">
        <v>2</v>
      </c>
      <c r="I6" s="13" t="s">
        <v>47</v>
      </c>
      <c r="J6" s="64"/>
    </row>
    <row r="7" spans="1:11" ht="13.5" thickBot="1" x14ac:dyDescent="0.35">
      <c r="A7" s="22" t="s">
        <v>7</v>
      </c>
      <c r="B7" s="23" t="s">
        <v>40</v>
      </c>
      <c r="C7" s="23"/>
      <c r="D7" s="23"/>
      <c r="E7" s="129"/>
      <c r="F7" s="135"/>
      <c r="G7" s="135"/>
      <c r="H7" s="16" t="s">
        <v>3</v>
      </c>
      <c r="I7" s="17"/>
      <c r="J7" s="64"/>
    </row>
    <row r="8" spans="1:11" ht="13" x14ac:dyDescent="0.3">
      <c r="A8" s="63"/>
      <c r="H8" s="20" t="s">
        <v>5</v>
      </c>
      <c r="I8" s="21"/>
      <c r="J8" s="64"/>
    </row>
    <row r="9" spans="1:11" ht="13.5" thickBot="1" x14ac:dyDescent="0.35">
      <c r="A9" s="103"/>
      <c r="B9" s="110"/>
      <c r="C9" s="110"/>
      <c r="D9" s="110"/>
      <c r="H9" s="24" t="s">
        <v>8</v>
      </c>
      <c r="I9" s="25"/>
      <c r="J9" s="64"/>
    </row>
    <row r="10" spans="1:11" ht="13" x14ac:dyDescent="0.3">
      <c r="A10" s="63"/>
      <c r="E10" s="110"/>
      <c r="F10" s="110"/>
      <c r="G10" s="110"/>
      <c r="H10" s="110"/>
      <c r="I10" s="110"/>
      <c r="J10" s="64"/>
    </row>
    <row r="11" spans="1:11" ht="13.5" thickBot="1" x14ac:dyDescent="0.35">
      <c r="A11" s="63"/>
      <c r="E11" s="125" t="s">
        <v>78</v>
      </c>
      <c r="F11" s="125"/>
      <c r="H11" s="110"/>
      <c r="J11" s="64"/>
    </row>
    <row r="12" spans="1:11" x14ac:dyDescent="0.25">
      <c r="A12" s="45" t="s">
        <v>15</v>
      </c>
      <c r="B12" s="46" t="s">
        <v>13</v>
      </c>
      <c r="C12" s="111"/>
      <c r="E12" s="88" t="s">
        <v>25</v>
      </c>
      <c r="F12" s="89" t="s">
        <v>13</v>
      </c>
      <c r="G12" s="112"/>
      <c r="H12" s="136" t="s">
        <v>0</v>
      </c>
      <c r="I12" s="137"/>
      <c r="J12" s="64"/>
    </row>
    <row r="13" spans="1:11" x14ac:dyDescent="0.25">
      <c r="A13" s="39" t="s">
        <v>17</v>
      </c>
      <c r="B13" s="40">
        <f>COUNTIF('Issue LOG'!G:G,"Open")</f>
        <v>0</v>
      </c>
      <c r="E13" s="90" t="s">
        <v>69</v>
      </c>
      <c r="F13" s="74">
        <f>COUNTIFS('Issue LOG'!$F:$F,$E$13,'Issue LOG'!$G:$G,"Open")+COUNTIFS('Issue LOG'!$F:$F,$E$13,'Issue LOG'!$G:$G,"Retest")</f>
        <v>0</v>
      </c>
      <c r="H13" s="138">
        <f>I15/(I14+I16)</f>
        <v>0.96470588235294119</v>
      </c>
      <c r="I13" s="139"/>
      <c r="J13" s="64"/>
    </row>
    <row r="14" spans="1:11" x14ac:dyDescent="0.25">
      <c r="A14" s="41" t="s">
        <v>19</v>
      </c>
      <c r="B14" s="42">
        <f>COUNTIF('Issue LOG'!G:G,"Closed")</f>
        <v>0</v>
      </c>
      <c r="E14" s="91" t="s">
        <v>27</v>
      </c>
      <c r="F14" s="74">
        <f>COUNTIFS('Issue LOG'!$F:$F,$E$14,'Issue LOG'!$G:$G,"Open")+COUNTIFS('Issue LOG'!$F:$F,$E$14,'Issue LOG'!$G:$G,"Retest")</f>
        <v>0</v>
      </c>
      <c r="H14" s="71" t="s">
        <v>63</v>
      </c>
      <c r="I14" s="72">
        <v>170</v>
      </c>
      <c r="J14" s="64"/>
      <c r="K14" s="55" t="s">
        <v>77</v>
      </c>
    </row>
    <row r="15" spans="1:11" x14ac:dyDescent="0.25">
      <c r="A15" s="53" t="s">
        <v>20</v>
      </c>
      <c r="B15" s="54">
        <f>COUNTIF('Issue LOG'!G:G,"Retest")</f>
        <v>0</v>
      </c>
      <c r="E15" s="91" t="s">
        <v>28</v>
      </c>
      <c r="F15" s="74">
        <f>COUNTIFS('Issue LOG'!$F:$F,$E$15,'Issue LOG'!$G:$G,"Open")+COUNTIFS('Issue LOG'!$F:$F,$E$15,'Issue LOG'!$G:$G,"Retest")</f>
        <v>0</v>
      </c>
      <c r="H15" s="73" t="s">
        <v>6</v>
      </c>
      <c r="I15" s="74">
        <v>164</v>
      </c>
      <c r="J15" s="64"/>
      <c r="K15" s="55" t="s">
        <v>77</v>
      </c>
    </row>
    <row r="16" spans="1:11" ht="13.5" thickBot="1" x14ac:dyDescent="0.35">
      <c r="A16" s="43" t="s">
        <v>22</v>
      </c>
      <c r="B16" s="44">
        <f>COUNTIF('Issue LOG'!G:G,"Clarify")</f>
        <v>0</v>
      </c>
      <c r="E16" s="92" t="s">
        <v>79</v>
      </c>
      <c r="F16" s="93">
        <f>SUM(F13:F15)</f>
        <v>0</v>
      </c>
      <c r="G16" s="113"/>
      <c r="H16" s="75" t="s">
        <v>48</v>
      </c>
      <c r="I16" s="76">
        <f>SUM('Issue LOG'!$H:$H)-SUMIF('Issue LOG'!$G:$G,"Takeout",'Issue LOG'!$H:$H)</f>
        <v>0</v>
      </c>
      <c r="J16" s="64"/>
      <c r="K16" s="55"/>
    </row>
    <row r="17" spans="1:10" ht="25.5" thickBot="1" x14ac:dyDescent="0.3">
      <c r="A17" s="37" t="s">
        <v>23</v>
      </c>
      <c r="B17" s="38">
        <f>SUM(B13:B16)</f>
        <v>0</v>
      </c>
      <c r="D17" s="112"/>
      <c r="J17" s="64"/>
    </row>
    <row r="18" spans="1:10" ht="13" thickBot="1" x14ac:dyDescent="0.3">
      <c r="A18" s="104" t="s">
        <v>57</v>
      </c>
      <c r="E18" s="114" t="s">
        <v>55</v>
      </c>
      <c r="I18" s="68"/>
      <c r="J18" s="64"/>
    </row>
    <row r="19" spans="1:10" x14ac:dyDescent="0.25">
      <c r="A19" s="63" t="s">
        <v>18</v>
      </c>
      <c r="B19" s="115">
        <f>COUNTIF('Issue LOG'!$N:$N,$I$5 )</f>
        <v>0</v>
      </c>
      <c r="C19" s="115"/>
      <c r="D19" s="115"/>
      <c r="E19" s="81" t="s">
        <v>9</v>
      </c>
      <c r="F19" s="82" t="s">
        <v>10</v>
      </c>
      <c r="G19" s="82" t="s">
        <v>11</v>
      </c>
      <c r="H19" s="82" t="s">
        <v>12</v>
      </c>
      <c r="I19" s="83" t="s">
        <v>13</v>
      </c>
      <c r="J19" s="64"/>
    </row>
    <row r="20" spans="1:10" x14ac:dyDescent="0.25">
      <c r="A20" s="63" t="s">
        <v>49</v>
      </c>
      <c r="B20" s="116" t="e">
        <f>$B$14/$B$17</f>
        <v>#DIV/0!</v>
      </c>
      <c r="C20" s="116"/>
      <c r="D20" s="116"/>
      <c r="E20" s="77" t="s">
        <v>14</v>
      </c>
      <c r="F20" s="67">
        <f>COUNTIFS('Issue LOG'!$F:$F,"Function",'Issue LOG'!$G:$G,"Closed",'Issue LOG'!$J:$J,"High")</f>
        <v>0</v>
      </c>
      <c r="G20" s="67">
        <f>COUNTIFS('Issue LOG'!$F:$F,"Function",'Issue LOG'!$G:$G,"Closed",'Issue LOG'!$J:$J,"Medium")</f>
        <v>0</v>
      </c>
      <c r="H20" s="67">
        <f>COUNTIFS('Issue LOG'!$F:$F,"Function",'Issue LOG'!$G:$G,"Closed",'Issue LOG'!$J:$J,"Low")</f>
        <v>0</v>
      </c>
      <c r="I20" s="74">
        <f>SUM(F20:H20)</f>
        <v>0</v>
      </c>
      <c r="J20" s="64"/>
    </row>
    <row r="21" spans="1:10" x14ac:dyDescent="0.25">
      <c r="A21" s="63"/>
      <c r="E21" s="78" t="s">
        <v>16</v>
      </c>
      <c r="F21" s="47">
        <f>COUNTIFS('Issue LOG'!$F:$F,"Functional",'Issue LOG'!$G:$G,"Open",'Issue LOG'!$J:$J,"High")+COUNTIFS('Issue LOG'!$F:$F,"Functional",'Issue LOG'!$G:$G,"Retest",'Issue LOG'!$J:$J,"High")</f>
        <v>0</v>
      </c>
      <c r="G21" s="47">
        <f>COUNTIFS('Issue LOG'!$F:$F,"Functional",'Issue LOG'!$G:$G,"Open",'Issue LOG'!$J:$J,"Medium")+COUNTIFS('Issue LOG'!$F:$F,"Functional",'Issue LOG'!$G:$G,"Retest",'Issue LOG'!$J:$J,"Medium")</f>
        <v>0</v>
      </c>
      <c r="H21" s="47">
        <f>COUNTIFS('Issue LOG'!$F:$F,"Functional",'Issue LOG'!$G:$G,"Open",'Issue LOG'!$J:$J,"Low")+COUNTIFS('Issue LOG'!$F:$F,"Functional",'Issue LOG'!$G:$G,"Retest",'Issue LOG'!$J:$J,"Low")</f>
        <v>0</v>
      </c>
      <c r="I21" s="79">
        <f>SUM(F21:H21)</f>
        <v>0</v>
      </c>
      <c r="J21" s="64"/>
    </row>
    <row r="22" spans="1:10" ht="13" thickBot="1" x14ac:dyDescent="0.3">
      <c r="A22" s="63"/>
      <c r="E22" s="86" t="s">
        <v>52</v>
      </c>
      <c r="F22" s="80">
        <f>SUM(F20:F21)</f>
        <v>0</v>
      </c>
      <c r="G22" s="80">
        <f>SUM(G20:G21)</f>
        <v>0</v>
      </c>
      <c r="H22" s="80">
        <f>SUM(H20:H21)</f>
        <v>0</v>
      </c>
      <c r="I22" s="76">
        <f>SUM(I20:I21)</f>
        <v>0</v>
      </c>
      <c r="J22" s="64"/>
    </row>
    <row r="23" spans="1:10" ht="13" thickBot="1" x14ac:dyDescent="0.3">
      <c r="A23" s="63"/>
      <c r="E23" s="87" t="s">
        <v>51</v>
      </c>
      <c r="J23" s="64"/>
    </row>
    <row r="24" spans="1:10" x14ac:dyDescent="0.25">
      <c r="A24" s="63"/>
      <c r="E24" s="81" t="s">
        <v>21</v>
      </c>
      <c r="F24" s="82" t="s">
        <v>10</v>
      </c>
      <c r="G24" s="82" t="s">
        <v>11</v>
      </c>
      <c r="H24" s="82" t="s">
        <v>12</v>
      </c>
      <c r="I24" s="83" t="s">
        <v>13</v>
      </c>
      <c r="J24" s="64"/>
    </row>
    <row r="25" spans="1:10" x14ac:dyDescent="0.25">
      <c r="A25" s="63"/>
      <c r="E25" s="77" t="s">
        <v>14</v>
      </c>
      <c r="F25" s="67">
        <f>COUNTIFS('Issue LOG'!$F:$F,"UI",'Issue LOG'!$G:$G,"Closed",'Issue LOG'!$J:$J,"High")</f>
        <v>0</v>
      </c>
      <c r="G25" s="67">
        <f>COUNTIFS('Issue LOG'!$F:$F,"UI",'Issue LOG'!$G:$G,"Closed",'Issue LOG'!$J:$J,"Medium")</f>
        <v>0</v>
      </c>
      <c r="H25" s="67">
        <f>COUNTIFS('Issue LOG'!$F:$F,"UI",'Issue LOG'!$G:$G,"Closed",'Issue LOG'!$J:$J,"Low")</f>
        <v>0</v>
      </c>
      <c r="I25" s="74">
        <f>SUM(F25:H25)</f>
        <v>0</v>
      </c>
      <c r="J25" s="64"/>
    </row>
    <row r="26" spans="1:10" x14ac:dyDescent="0.25">
      <c r="A26" s="63"/>
      <c r="E26" s="78" t="s">
        <v>16</v>
      </c>
      <c r="F26" s="47">
        <f>COUNTIFS('Issue LOG'!$F:$F,"UI",'Issue LOG'!$G:$G,"Open",'Issue LOG'!$J:$J,"High")+COUNTIFS('Issue LOG'!$F:$F,"UI",'Issue LOG'!$G:$G,"Retest",'Issue LOG'!$J:$J,"High")</f>
        <v>0</v>
      </c>
      <c r="G26" s="47">
        <f>COUNTIFS('Issue LOG'!$F:$F,"UI",'Issue LOG'!$G:$G,"Open",'Issue LOG'!$J:$J,"Medium")+COUNTIFS('Issue LOG'!$F:$F,"UI",'Issue LOG'!$G:$G,"Retest",'Issue LOG'!$J:$J,"Medium")</f>
        <v>0</v>
      </c>
      <c r="H26" s="47">
        <f>COUNTIFS('Issue LOG'!$F:$F,"UI",'Issue LOG'!$G:$G,"Open",'Issue LOG'!$J:$J,"Low")+COUNTIFS('Issue LOG'!$F:$F,"UI",'Issue LOG'!$G:$G,"Retest",'Issue LOG'!$J:$J,"Low")</f>
        <v>0</v>
      </c>
      <c r="I26" s="79">
        <f>SUM(F26:H26)</f>
        <v>0</v>
      </c>
      <c r="J26" s="64"/>
    </row>
    <row r="27" spans="1:10" ht="13" thickBot="1" x14ac:dyDescent="0.3">
      <c r="A27" s="63"/>
      <c r="E27" s="86" t="s">
        <v>53</v>
      </c>
      <c r="F27" s="80">
        <f>SUM(F25:F26)</f>
        <v>0</v>
      </c>
      <c r="G27" s="80">
        <f>SUM(G25:G26)</f>
        <v>0</v>
      </c>
      <c r="H27" s="80">
        <f>SUM(H25:H26)</f>
        <v>0</v>
      </c>
      <c r="I27" s="76">
        <f>SUM(I25:I26)</f>
        <v>0</v>
      </c>
      <c r="J27" s="64"/>
    </row>
    <row r="28" spans="1:10" ht="13" thickBot="1" x14ac:dyDescent="0.3">
      <c r="A28" s="63"/>
      <c r="J28" s="64"/>
    </row>
    <row r="29" spans="1:10" x14ac:dyDescent="0.25">
      <c r="A29" s="63"/>
      <c r="E29" s="81" t="s">
        <v>26</v>
      </c>
      <c r="F29" s="82" t="s">
        <v>10</v>
      </c>
      <c r="G29" s="82" t="s">
        <v>11</v>
      </c>
      <c r="H29" s="82" t="s">
        <v>12</v>
      </c>
      <c r="I29" s="83" t="s">
        <v>13</v>
      </c>
      <c r="J29" s="64"/>
    </row>
    <row r="30" spans="1:10" x14ac:dyDescent="0.25">
      <c r="A30" s="63"/>
      <c r="E30" s="77" t="s">
        <v>14</v>
      </c>
      <c r="F30" s="67">
        <f>COUNTIFS('Issue LOG'!$F:$F,"Performance",'Issue LOG'!$G:$G,"Closed",'Issue LOG'!$J:$J,"High")</f>
        <v>0</v>
      </c>
      <c r="G30" s="67">
        <f>COUNTIFS('Issue LOG'!$F:$F,"Performance",'Issue LOG'!$G:$G,"Closed",'Issue LOG'!$J:$J,"Medium")</f>
        <v>0</v>
      </c>
      <c r="H30" s="67">
        <f>COUNTIFS('Issue LOG'!$F:$F,"Performance",'Issue LOG'!$G:$G,"Closed",'Issue LOG'!$J:$J,"Low")</f>
        <v>0</v>
      </c>
      <c r="I30" s="74">
        <f>SUM(F30:H30)</f>
        <v>0</v>
      </c>
      <c r="J30" s="64"/>
    </row>
    <row r="31" spans="1:10" x14ac:dyDescent="0.25">
      <c r="A31" s="63"/>
      <c r="E31" s="78" t="s">
        <v>16</v>
      </c>
      <c r="F31" s="47">
        <f>COUNTIFS('Issue LOG'!$F:$F,"Performance",'Issue LOG'!$G:$G,"Open",'Issue LOG'!$J:$J,"High")+COUNTIFS('Issue LOG'!$F:$F,"Performance",'Issue LOG'!$G:$G,"Retest",'Issue LOG'!$J:$J,"High")</f>
        <v>0</v>
      </c>
      <c r="G31" s="47">
        <f>COUNTIFS('Issue LOG'!$F:$F,"Performance",'Issue LOG'!$G:$G,"Open",'Issue LOG'!$J:$J,"Medium")+COUNTIFS('Issue LOG'!$F:$F,"Performance",'Issue LOG'!$G:$G,"Retest",'Issue LOG'!$J:$J,"Medium")</f>
        <v>0</v>
      </c>
      <c r="H31" s="47">
        <f>COUNTIFS('Issue LOG'!$F:$F,"Performance",'Issue LOG'!$G:$G,"Open",'Issue LOG'!$J:$J,"Low")+COUNTIFS('Issue LOG'!$F:$F,"Performance",'Issue LOG'!$G:$G,"Retest",'Issue LOG'!$J:$J,"Low")</f>
        <v>0</v>
      </c>
      <c r="I31" s="79">
        <f>SUM(F31:H31)</f>
        <v>0</v>
      </c>
      <c r="J31" s="64"/>
    </row>
    <row r="32" spans="1:10" ht="13" thickBot="1" x14ac:dyDescent="0.3">
      <c r="A32" s="63"/>
      <c r="E32" s="86" t="s">
        <v>54</v>
      </c>
      <c r="F32" s="80">
        <f>SUM(F30:F31)</f>
        <v>0</v>
      </c>
      <c r="G32" s="80">
        <f>SUM(G30:G31)</f>
        <v>0</v>
      </c>
      <c r="H32" s="80">
        <f>SUM(H30:H31)</f>
        <v>0</v>
      </c>
      <c r="I32" s="76">
        <f>SUM(I30:I31)</f>
        <v>0</v>
      </c>
      <c r="J32" s="64"/>
    </row>
    <row r="33" spans="1:10" x14ac:dyDescent="0.25">
      <c r="A33" s="63"/>
      <c r="E33" s="87" t="s">
        <v>51</v>
      </c>
      <c r="J33" s="64"/>
    </row>
    <row r="34" spans="1:10" ht="13" x14ac:dyDescent="0.3">
      <c r="A34" s="126" t="s">
        <v>24</v>
      </c>
      <c r="B34" s="127"/>
      <c r="E34" s="87"/>
      <c r="J34" s="64"/>
    </row>
    <row r="35" spans="1:10" x14ac:dyDescent="0.25">
      <c r="A35" s="117" t="s">
        <v>68</v>
      </c>
      <c r="B35" s="52" t="s">
        <v>13</v>
      </c>
      <c r="E35" s="87"/>
      <c r="J35" s="64"/>
    </row>
    <row r="36" spans="1:10" x14ac:dyDescent="0.25">
      <c r="A36" s="90" t="s">
        <v>66</v>
      </c>
      <c r="B36" s="51">
        <f>COUNTIFS('Issue LOG'!$O:$O,$A$36,'Issue LOG'!$G:$G,"Open")+COUNTIFS('Issue LOG'!$O:$O,$A$36,'Issue LOG'!$G:$G,"Retest")</f>
        <v>0</v>
      </c>
      <c r="E36" s="87"/>
      <c r="J36" s="64"/>
    </row>
    <row r="37" spans="1:10" x14ac:dyDescent="0.25">
      <c r="A37" s="90" t="s">
        <v>67</v>
      </c>
      <c r="B37" s="51">
        <f>COUNTIFS('Issue LOG'!$O:$O,$A37,'Issue LOG'!$G:$G,"Open")+COUNTIFS('Issue LOG'!$O:$O,$A37,'Issue LOG'!$G:$G,"Retest")</f>
        <v>0</v>
      </c>
      <c r="E37" s="87"/>
      <c r="J37" s="64"/>
    </row>
    <row r="38" spans="1:10" x14ac:dyDescent="0.25">
      <c r="A38" s="90" t="s">
        <v>71</v>
      </c>
      <c r="B38" s="51">
        <f>COUNTIFS('Issue LOG'!$O:$O,$A38,'Issue LOG'!$G:$G,"Open")+COUNTIFS('Issue LOG'!$O:$O,$A38,'Issue LOG'!$G:$G,"Retest")</f>
        <v>0</v>
      </c>
      <c r="E38" s="87"/>
      <c r="J38" s="64"/>
    </row>
    <row r="39" spans="1:10" ht="13" thickBot="1" x14ac:dyDescent="0.3">
      <c r="A39" s="118" t="s">
        <v>72</v>
      </c>
      <c r="B39" s="119">
        <f>COUNTIFS('Issue LOG'!$O:$O,$A39,'Issue LOG'!$G:$G,"Open")+COUNTIFS('Issue LOG'!$O:$O,$A39,'Issue LOG'!$G:$G,"Retest")</f>
        <v>0</v>
      </c>
      <c r="C39" s="65"/>
      <c r="D39" s="65"/>
      <c r="E39" s="65"/>
      <c r="F39" s="65"/>
      <c r="G39" s="65"/>
      <c r="H39" s="65"/>
      <c r="I39" s="65"/>
      <c r="J39" s="66"/>
    </row>
    <row r="43" spans="1:10" x14ac:dyDescent="0.25">
      <c r="A43" s="87"/>
    </row>
  </sheetData>
  <mergeCells count="9">
    <mergeCell ref="A2:I2"/>
    <mergeCell ref="E11:F11"/>
    <mergeCell ref="A34:B34"/>
    <mergeCell ref="E6:E7"/>
    <mergeCell ref="F4:G4"/>
    <mergeCell ref="F5:G5"/>
    <mergeCell ref="F6:G7"/>
    <mergeCell ref="H12:I12"/>
    <mergeCell ref="H13:I13"/>
  </mergeCells>
  <pageMargins left="0.7" right="0.7" top="0.75" bottom="0.75" header="0.3" footer="0.3"/>
  <pageSetup paperSize="9" scale="49" orientation="portrait" horizont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Q34"/>
  <sheetViews>
    <sheetView tabSelected="1" zoomScale="55" zoomScaleNormal="55" workbookViewId="0">
      <pane ySplit="1" topLeftCell="A2" activePane="bottomLeft" state="frozen"/>
      <selection pane="bottomLeft" activeCell="B22" sqref="B22"/>
    </sheetView>
  </sheetViews>
  <sheetFormatPr defaultRowHeight="14.5" x14ac:dyDescent="0.35"/>
  <cols>
    <col min="1" max="1" width="6.81640625" style="5" customWidth="1"/>
    <col min="2" max="2" width="42.26953125" style="6" customWidth="1"/>
    <col min="3" max="3" width="48.81640625" style="6" customWidth="1"/>
    <col min="4" max="4" width="47.7265625" style="6" customWidth="1"/>
    <col min="5" max="5" width="27.453125" style="6" customWidth="1"/>
    <col min="6" max="6" width="12.54296875" style="35" bestFit="1" customWidth="1"/>
    <col min="7" max="7" width="9.453125" style="29" bestFit="1" customWidth="1"/>
    <col min="8" max="8" width="12.453125" style="29" customWidth="1"/>
    <col min="9" max="9" width="11.81640625" style="5" bestFit="1" customWidth="1"/>
    <col min="10" max="10" width="12" style="5" customWidth="1"/>
    <col min="11" max="11" width="14.7265625" style="5" customWidth="1"/>
    <col min="12" max="12" width="40.7265625" style="1" customWidth="1"/>
    <col min="13" max="13" width="10.7265625" style="29" customWidth="1"/>
    <col min="14" max="14" width="10.453125" style="31" customWidth="1"/>
    <col min="15" max="15" width="20.26953125" style="29" customWidth="1"/>
    <col min="16" max="16" width="9.26953125" style="31" customWidth="1"/>
    <col min="17" max="17" width="14.81640625" style="50" customWidth="1"/>
  </cols>
  <sheetData>
    <row r="1" spans="1:17" ht="26.25" customHeight="1" x14ac:dyDescent="0.25">
      <c r="A1" s="105" t="s">
        <v>61</v>
      </c>
      <c r="B1" s="106" t="s">
        <v>59</v>
      </c>
      <c r="C1" s="106" t="s">
        <v>58</v>
      </c>
      <c r="D1" s="106" t="s">
        <v>60</v>
      </c>
      <c r="E1" s="106" t="s">
        <v>29</v>
      </c>
      <c r="F1" s="106" t="s">
        <v>25</v>
      </c>
      <c r="G1" s="107" t="s">
        <v>15</v>
      </c>
      <c r="H1" s="107" t="s">
        <v>73</v>
      </c>
      <c r="I1" s="107" t="s">
        <v>30</v>
      </c>
      <c r="J1" s="105" t="s">
        <v>31</v>
      </c>
      <c r="K1" s="105" t="s">
        <v>70</v>
      </c>
      <c r="L1" s="105" t="s">
        <v>32</v>
      </c>
      <c r="M1" s="105" t="s">
        <v>33</v>
      </c>
      <c r="N1" s="108" t="s">
        <v>34</v>
      </c>
      <c r="O1" s="105" t="s">
        <v>35</v>
      </c>
      <c r="P1" s="108" t="s">
        <v>36</v>
      </c>
      <c r="Q1" s="109" t="s">
        <v>62</v>
      </c>
    </row>
    <row r="2" spans="1:17" ht="5.15" customHeight="1" x14ac:dyDescent="0.25">
      <c r="A2" s="56"/>
      <c r="B2" s="57"/>
      <c r="C2" s="57"/>
      <c r="D2" s="57"/>
      <c r="E2" s="57"/>
      <c r="F2" s="57"/>
      <c r="G2" s="58"/>
      <c r="H2" s="58"/>
      <c r="I2" s="58"/>
      <c r="J2" s="56"/>
      <c r="K2" s="56"/>
      <c r="L2" s="56"/>
      <c r="M2" s="56"/>
      <c r="N2" s="59"/>
      <c r="O2" s="56"/>
      <c r="P2" s="59"/>
      <c r="Q2" s="60"/>
    </row>
    <row r="3" spans="1:17" x14ac:dyDescent="0.25">
      <c r="A3" s="2">
        <v>1</v>
      </c>
      <c r="B3" s="11"/>
      <c r="C3" s="11"/>
      <c r="D3" s="11"/>
      <c r="E3" s="11"/>
      <c r="F3" s="33"/>
      <c r="G3" s="36"/>
      <c r="H3" s="36"/>
      <c r="I3" s="36"/>
      <c r="J3" s="2"/>
      <c r="K3" s="2"/>
      <c r="L3" s="3"/>
      <c r="M3" s="27"/>
      <c r="N3" s="30"/>
      <c r="O3" s="28"/>
      <c r="P3" s="32"/>
      <c r="Q3" s="47"/>
    </row>
    <row r="4" spans="1:17" x14ac:dyDescent="0.25">
      <c r="A4" s="2">
        <v>2</v>
      </c>
      <c r="B4" s="120"/>
      <c r="C4" s="120"/>
      <c r="D4" s="120"/>
      <c r="E4" s="11"/>
      <c r="F4" s="33"/>
      <c r="G4" s="36"/>
      <c r="H4" s="36"/>
      <c r="I4" s="36"/>
      <c r="J4" s="2"/>
      <c r="K4" s="2"/>
      <c r="L4" s="3"/>
      <c r="M4" s="27"/>
      <c r="N4" s="30"/>
      <c r="O4" s="28"/>
      <c r="P4" s="32"/>
      <c r="Q4" s="48"/>
    </row>
    <row r="5" spans="1:17" ht="38.25" customHeight="1" x14ac:dyDescent="0.25">
      <c r="A5" s="2">
        <v>3</v>
      </c>
      <c r="B5" s="11"/>
      <c r="C5" s="11"/>
      <c r="D5" s="11"/>
      <c r="E5" s="11"/>
      <c r="F5" s="33"/>
      <c r="G5" s="36"/>
      <c r="H5" s="36"/>
      <c r="I5" s="36"/>
      <c r="J5" s="2"/>
      <c r="K5" s="2"/>
      <c r="L5" s="3"/>
      <c r="M5" s="27"/>
      <c r="N5" s="30"/>
      <c r="O5" s="28"/>
      <c r="P5" s="32"/>
      <c r="Q5" s="47"/>
    </row>
    <row r="6" spans="1:17" x14ac:dyDescent="0.25">
      <c r="A6" s="2">
        <v>4</v>
      </c>
      <c r="B6" s="11"/>
      <c r="C6" s="11"/>
      <c r="D6" s="11"/>
      <c r="E6" s="11"/>
      <c r="F6" s="33"/>
      <c r="G6" s="36"/>
      <c r="H6" s="36"/>
      <c r="I6" s="36"/>
      <c r="J6" s="2"/>
      <c r="K6" s="2"/>
      <c r="L6" s="3"/>
      <c r="M6" s="27"/>
      <c r="N6" s="30"/>
      <c r="O6" s="28"/>
      <c r="P6" s="32"/>
      <c r="Q6" s="47"/>
    </row>
    <row r="7" spans="1:17" x14ac:dyDescent="0.25">
      <c r="A7" s="2">
        <v>5</v>
      </c>
      <c r="B7" s="11"/>
      <c r="C7" s="11"/>
      <c r="D7" s="11"/>
      <c r="E7" s="11"/>
      <c r="F7" s="33"/>
      <c r="G7" s="36"/>
      <c r="H7" s="36"/>
      <c r="I7" s="36"/>
      <c r="J7" s="2"/>
      <c r="K7" s="2"/>
      <c r="L7" s="3"/>
      <c r="M7" s="27"/>
      <c r="N7" s="30"/>
      <c r="O7" s="28"/>
      <c r="P7" s="32"/>
      <c r="Q7" s="49"/>
    </row>
    <row r="8" spans="1:17" x14ac:dyDescent="0.25">
      <c r="A8" s="2">
        <v>6</v>
      </c>
      <c r="B8" s="11"/>
      <c r="C8" s="11"/>
      <c r="D8" s="11"/>
      <c r="E8" s="11"/>
      <c r="F8" s="33"/>
      <c r="G8" s="36"/>
      <c r="H8" s="36"/>
      <c r="I8" s="36"/>
      <c r="J8" s="2"/>
      <c r="K8" s="2"/>
      <c r="L8" s="3"/>
      <c r="M8" s="27"/>
      <c r="N8" s="30"/>
      <c r="O8" s="28"/>
      <c r="P8" s="32"/>
      <c r="Q8" s="47"/>
    </row>
    <row r="9" spans="1:17" x14ac:dyDescent="0.25">
      <c r="A9" s="2">
        <v>7</v>
      </c>
      <c r="B9" s="11"/>
      <c r="C9" s="11"/>
      <c r="D9" s="11"/>
      <c r="E9" s="11"/>
      <c r="F9" s="33"/>
      <c r="G9" s="36"/>
      <c r="H9" s="36"/>
      <c r="I9" s="36"/>
      <c r="J9" s="2"/>
      <c r="K9" s="2"/>
      <c r="L9" s="69"/>
      <c r="M9" s="27"/>
      <c r="N9" s="30"/>
      <c r="O9" s="28"/>
      <c r="P9" s="32"/>
      <c r="Q9" s="47"/>
    </row>
    <row r="10" spans="1:17" x14ac:dyDescent="0.25">
      <c r="A10" s="2">
        <v>8</v>
      </c>
      <c r="B10" s="11"/>
      <c r="C10" s="11"/>
      <c r="D10" s="11"/>
      <c r="E10" s="7"/>
      <c r="F10" s="33"/>
      <c r="G10" s="36"/>
      <c r="H10" s="36"/>
      <c r="I10" s="36"/>
      <c r="J10" s="2"/>
      <c r="K10" s="2"/>
      <c r="L10" s="3"/>
      <c r="M10" s="27"/>
      <c r="N10" s="30"/>
      <c r="O10" s="28"/>
      <c r="P10" s="32"/>
      <c r="Q10" s="47"/>
    </row>
    <row r="11" spans="1:17" x14ac:dyDescent="0.25">
      <c r="A11" s="2">
        <v>9</v>
      </c>
      <c r="B11" s="11"/>
      <c r="C11" s="11"/>
      <c r="D11" s="11"/>
      <c r="E11" s="7"/>
      <c r="F11" s="33"/>
      <c r="G11" s="36"/>
      <c r="H11" s="36"/>
      <c r="I11" s="36"/>
      <c r="J11" s="2"/>
      <c r="K11" s="2"/>
      <c r="L11" s="3"/>
      <c r="M11" s="27"/>
      <c r="N11" s="30"/>
      <c r="O11" s="28"/>
      <c r="P11" s="32"/>
      <c r="Q11" s="47"/>
    </row>
    <row r="12" spans="1:17" x14ac:dyDescent="0.35">
      <c r="A12" s="2">
        <v>10</v>
      </c>
      <c r="B12" s="11"/>
      <c r="C12" s="11"/>
      <c r="D12" s="11"/>
      <c r="E12" s="8"/>
      <c r="F12" s="33"/>
      <c r="G12" s="36"/>
      <c r="H12" s="36"/>
      <c r="I12" s="36"/>
      <c r="J12" s="2"/>
      <c r="K12" s="2"/>
      <c r="L12" s="3"/>
      <c r="M12" s="27"/>
      <c r="N12" s="30"/>
      <c r="O12" s="28"/>
      <c r="P12" s="32"/>
      <c r="Q12" s="47"/>
    </row>
    <row r="13" spans="1:17" x14ac:dyDescent="0.35">
      <c r="A13" s="2">
        <v>11</v>
      </c>
      <c r="B13" s="11"/>
      <c r="C13" s="11"/>
      <c r="D13" s="11"/>
      <c r="E13" s="8"/>
      <c r="F13" s="33"/>
      <c r="G13" s="36"/>
      <c r="H13" s="36"/>
      <c r="I13" s="36"/>
      <c r="J13" s="2"/>
      <c r="K13" s="2"/>
      <c r="L13" s="3"/>
      <c r="M13" s="27"/>
      <c r="N13" s="30"/>
      <c r="O13" s="28"/>
      <c r="P13" s="32"/>
      <c r="Q13" s="47"/>
    </row>
    <row r="14" spans="1:17" x14ac:dyDescent="0.35">
      <c r="A14" s="2">
        <v>12</v>
      </c>
      <c r="B14" s="11"/>
      <c r="C14" s="11"/>
      <c r="D14" s="11"/>
      <c r="E14" s="8"/>
      <c r="F14" s="33"/>
      <c r="G14" s="36"/>
      <c r="H14" s="36"/>
      <c r="I14" s="36"/>
      <c r="J14" s="2"/>
      <c r="K14" s="2"/>
      <c r="L14" s="3"/>
      <c r="M14" s="27"/>
      <c r="N14" s="30"/>
      <c r="O14" s="28"/>
      <c r="P14" s="32"/>
      <c r="Q14" s="47"/>
    </row>
    <row r="15" spans="1:17" x14ac:dyDescent="0.35">
      <c r="A15" s="2">
        <v>13</v>
      </c>
      <c r="B15" s="11"/>
      <c r="C15" s="11"/>
      <c r="D15" s="11"/>
      <c r="E15" s="8"/>
      <c r="F15" s="33"/>
      <c r="G15" s="36"/>
      <c r="H15" s="36"/>
      <c r="I15" s="36"/>
      <c r="J15" s="2"/>
      <c r="K15" s="2"/>
      <c r="L15" s="3"/>
      <c r="M15" s="27"/>
      <c r="N15" s="30"/>
      <c r="O15" s="28"/>
      <c r="P15" s="32"/>
      <c r="Q15" s="47"/>
    </row>
    <row r="16" spans="1:17" x14ac:dyDescent="0.35">
      <c r="A16" s="2">
        <v>14</v>
      </c>
      <c r="B16" s="11"/>
      <c r="C16" s="11"/>
      <c r="D16" s="11"/>
      <c r="E16" s="8"/>
      <c r="F16" s="33"/>
      <c r="G16" s="36"/>
      <c r="H16" s="36"/>
      <c r="I16" s="36"/>
      <c r="J16" s="2"/>
      <c r="K16" s="2"/>
      <c r="L16" s="3"/>
      <c r="M16" s="27"/>
      <c r="N16" s="30"/>
      <c r="O16" s="28"/>
      <c r="P16" s="32"/>
      <c r="Q16" s="47"/>
    </row>
    <row r="17" spans="1:17" x14ac:dyDescent="0.35">
      <c r="A17" s="2">
        <v>15</v>
      </c>
      <c r="B17" s="11"/>
      <c r="C17" s="11"/>
      <c r="D17" s="11"/>
      <c r="E17" s="8"/>
      <c r="F17" s="33"/>
      <c r="G17" s="36"/>
      <c r="H17" s="36"/>
      <c r="I17" s="36"/>
      <c r="J17" s="2"/>
      <c r="K17" s="2"/>
      <c r="L17" s="3"/>
      <c r="M17" s="27"/>
      <c r="N17" s="30"/>
      <c r="O17" s="28"/>
      <c r="P17" s="32"/>
      <c r="Q17" s="47"/>
    </row>
    <row r="18" spans="1:17" x14ac:dyDescent="0.35">
      <c r="A18" s="2">
        <v>16</v>
      </c>
      <c r="B18" s="11"/>
      <c r="C18" s="11"/>
      <c r="D18" s="11"/>
      <c r="E18" s="8"/>
      <c r="F18" s="33"/>
      <c r="G18" s="36"/>
      <c r="H18" s="36"/>
      <c r="I18" s="36"/>
      <c r="J18" s="2"/>
      <c r="K18" s="2"/>
      <c r="L18" s="3"/>
      <c r="M18" s="27"/>
      <c r="N18" s="30"/>
      <c r="O18" s="28"/>
      <c r="P18" s="32"/>
      <c r="Q18" s="47"/>
    </row>
    <row r="19" spans="1:17" x14ac:dyDescent="0.35">
      <c r="A19" s="2">
        <v>17</v>
      </c>
      <c r="B19" s="8"/>
      <c r="C19" s="8"/>
      <c r="D19" s="8"/>
      <c r="E19" s="8"/>
      <c r="G19" s="36"/>
      <c r="H19" s="36"/>
      <c r="I19" s="36"/>
      <c r="J19" s="2"/>
      <c r="K19" s="2"/>
      <c r="L19" s="3"/>
      <c r="M19" s="27"/>
      <c r="N19" s="30"/>
      <c r="O19" s="28"/>
      <c r="P19" s="32"/>
      <c r="Q19" s="47"/>
    </row>
    <row r="20" spans="1:17" x14ac:dyDescent="0.35">
      <c r="A20" s="2">
        <v>18</v>
      </c>
      <c r="B20" s="8"/>
      <c r="C20" s="8"/>
      <c r="D20" s="8"/>
      <c r="E20" s="8"/>
      <c r="G20" s="36"/>
      <c r="H20" s="36"/>
      <c r="I20" s="36"/>
      <c r="J20" s="2"/>
      <c r="K20" s="2"/>
      <c r="L20" s="3"/>
      <c r="M20" s="27"/>
      <c r="N20" s="30"/>
      <c r="O20" s="28"/>
      <c r="P20" s="32"/>
      <c r="Q20" s="47"/>
    </row>
    <row r="21" spans="1:17" x14ac:dyDescent="0.35">
      <c r="A21" s="2">
        <v>19</v>
      </c>
      <c r="B21" s="8"/>
      <c r="C21" s="8"/>
      <c r="D21" s="8"/>
      <c r="E21" s="8"/>
      <c r="F21" s="33"/>
      <c r="G21" s="36"/>
      <c r="H21" s="36"/>
      <c r="I21" s="36"/>
      <c r="J21" s="2"/>
      <c r="K21" s="2"/>
      <c r="L21" s="3"/>
      <c r="M21" s="27"/>
      <c r="N21" s="30"/>
      <c r="O21" s="28"/>
      <c r="P21" s="32"/>
      <c r="Q21" s="47"/>
    </row>
    <row r="22" spans="1:17" x14ac:dyDescent="0.35">
      <c r="A22" s="2">
        <v>20</v>
      </c>
      <c r="B22" s="8"/>
      <c r="C22" s="8"/>
      <c r="D22" s="8"/>
      <c r="E22" s="8"/>
      <c r="F22" s="33"/>
      <c r="G22" s="36"/>
      <c r="H22" s="36"/>
      <c r="I22" s="36"/>
      <c r="J22" s="2"/>
      <c r="K22" s="2"/>
      <c r="L22" s="3"/>
      <c r="M22" s="27"/>
      <c r="N22" s="30"/>
      <c r="O22" s="28"/>
      <c r="P22" s="32"/>
      <c r="Q22" s="47"/>
    </row>
    <row r="23" spans="1:17" x14ac:dyDescent="0.35">
      <c r="A23" s="2">
        <v>21</v>
      </c>
      <c r="B23" s="8"/>
      <c r="C23" s="8"/>
      <c r="D23" s="8"/>
      <c r="E23" s="8"/>
      <c r="F23" s="33"/>
      <c r="G23" s="36"/>
      <c r="H23" s="36"/>
      <c r="I23" s="36"/>
      <c r="J23" s="2"/>
      <c r="K23" s="2"/>
      <c r="L23" s="3"/>
      <c r="M23" s="27"/>
      <c r="N23" s="30"/>
      <c r="O23" s="28"/>
      <c r="P23" s="32"/>
      <c r="Q23" s="47"/>
    </row>
    <row r="24" spans="1:17" x14ac:dyDescent="0.35">
      <c r="A24" s="2">
        <v>22</v>
      </c>
      <c r="B24" s="8"/>
      <c r="C24" s="8"/>
      <c r="D24" s="8"/>
      <c r="E24" s="8"/>
      <c r="F24" s="33"/>
      <c r="G24" s="36"/>
      <c r="H24" s="36"/>
      <c r="I24" s="36"/>
      <c r="J24" s="2"/>
      <c r="K24" s="2"/>
      <c r="L24" s="3"/>
      <c r="M24" s="27"/>
      <c r="N24" s="30"/>
      <c r="O24" s="28"/>
      <c r="P24" s="32"/>
      <c r="Q24" s="47"/>
    </row>
    <row r="25" spans="1:17" x14ac:dyDescent="0.35">
      <c r="A25" s="2">
        <v>23</v>
      </c>
      <c r="B25" s="8"/>
      <c r="C25" s="8"/>
      <c r="D25" s="8"/>
      <c r="E25" s="8"/>
      <c r="F25" s="33"/>
      <c r="G25" s="36"/>
      <c r="H25" s="36"/>
      <c r="I25" s="36"/>
      <c r="J25" s="2"/>
      <c r="K25" s="2"/>
      <c r="L25" s="3"/>
      <c r="M25" s="27"/>
      <c r="N25" s="30"/>
      <c r="O25" s="28"/>
      <c r="P25" s="32"/>
      <c r="Q25" s="47"/>
    </row>
    <row r="26" spans="1:17" x14ac:dyDescent="0.35">
      <c r="A26" s="2">
        <v>24</v>
      </c>
      <c r="B26" s="8"/>
      <c r="C26" s="8"/>
      <c r="D26" s="8"/>
      <c r="E26" s="8"/>
      <c r="F26" s="33"/>
      <c r="G26" s="36"/>
      <c r="H26" s="36"/>
      <c r="I26" s="36"/>
      <c r="J26" s="2"/>
      <c r="K26" s="2"/>
      <c r="L26" s="3"/>
      <c r="M26" s="27"/>
      <c r="N26" s="30"/>
      <c r="O26" s="28"/>
      <c r="P26" s="32"/>
      <c r="Q26" s="47"/>
    </row>
    <row r="27" spans="1:17" x14ac:dyDescent="0.35">
      <c r="A27" s="2">
        <v>25</v>
      </c>
      <c r="B27" s="8"/>
      <c r="C27" s="8"/>
      <c r="D27" s="8"/>
      <c r="E27" s="8"/>
      <c r="F27" s="33"/>
      <c r="G27" s="36"/>
      <c r="H27" s="36"/>
      <c r="I27" s="36"/>
      <c r="J27" s="2"/>
      <c r="K27" s="2"/>
      <c r="L27" s="3"/>
      <c r="M27" s="27"/>
      <c r="N27" s="30"/>
      <c r="O27" s="28"/>
      <c r="P27" s="32"/>
      <c r="Q27" s="47"/>
    </row>
    <row r="28" spans="1:17" x14ac:dyDescent="0.35">
      <c r="A28" s="2">
        <v>26</v>
      </c>
      <c r="B28" s="8"/>
      <c r="C28" s="8"/>
      <c r="D28" s="8"/>
      <c r="E28" s="8"/>
      <c r="F28" s="33"/>
      <c r="G28" s="36"/>
      <c r="H28" s="36"/>
      <c r="I28" s="36"/>
      <c r="J28" s="2"/>
      <c r="K28" s="2"/>
      <c r="L28" s="3"/>
      <c r="M28" s="27"/>
      <c r="N28" s="30"/>
      <c r="O28" s="28"/>
      <c r="P28" s="32"/>
      <c r="Q28" s="47"/>
    </row>
    <row r="29" spans="1:17" x14ac:dyDescent="0.35">
      <c r="A29" s="2">
        <v>27</v>
      </c>
      <c r="B29" s="8"/>
      <c r="C29" s="8"/>
      <c r="D29" s="8"/>
      <c r="E29" s="8"/>
      <c r="F29" s="33"/>
      <c r="G29" s="36"/>
      <c r="H29" s="36"/>
      <c r="I29" s="36"/>
      <c r="J29" s="2"/>
      <c r="K29" s="2"/>
      <c r="L29" s="10"/>
      <c r="M29" s="27"/>
      <c r="N29" s="30"/>
      <c r="O29" s="28"/>
      <c r="P29" s="32"/>
      <c r="Q29" s="47"/>
    </row>
    <row r="30" spans="1:17" x14ac:dyDescent="0.35">
      <c r="A30" s="2">
        <v>28</v>
      </c>
      <c r="B30" s="8"/>
      <c r="C30" s="8"/>
      <c r="D30" s="8"/>
      <c r="E30" s="8"/>
      <c r="F30" s="33"/>
      <c r="G30" s="36"/>
      <c r="H30" s="36"/>
      <c r="I30" s="36"/>
      <c r="J30" s="2"/>
      <c r="K30" s="2"/>
      <c r="L30" s="10"/>
      <c r="M30" s="27"/>
      <c r="N30" s="30"/>
      <c r="O30" s="28"/>
      <c r="P30" s="32"/>
      <c r="Q30" s="47"/>
    </row>
    <row r="31" spans="1:17" x14ac:dyDescent="0.35">
      <c r="A31" s="2">
        <v>29</v>
      </c>
      <c r="B31" s="8"/>
      <c r="C31" s="8"/>
      <c r="D31" s="8"/>
      <c r="E31" s="8"/>
      <c r="F31" s="33"/>
      <c r="G31" s="36"/>
      <c r="H31" s="36"/>
      <c r="I31" s="36"/>
      <c r="J31" s="2"/>
      <c r="K31" s="2"/>
      <c r="L31" s="3"/>
      <c r="M31" s="27"/>
      <c r="N31" s="30"/>
      <c r="O31" s="28"/>
      <c r="P31" s="32"/>
      <c r="Q31" s="47"/>
    </row>
    <row r="32" spans="1:17" x14ac:dyDescent="0.35">
      <c r="A32" s="2">
        <v>30</v>
      </c>
      <c r="B32" s="26"/>
      <c r="C32" s="26"/>
      <c r="D32" s="26"/>
      <c r="E32" s="26"/>
      <c r="F32" s="34"/>
      <c r="G32" s="36"/>
      <c r="H32" s="36"/>
      <c r="I32" s="36"/>
      <c r="J32" s="2"/>
      <c r="K32" s="2"/>
      <c r="L32" s="10"/>
      <c r="M32" s="27"/>
      <c r="N32" s="30"/>
      <c r="O32" s="28"/>
      <c r="P32" s="32"/>
      <c r="Q32" s="47"/>
    </row>
    <row r="33" spans="1:17" x14ac:dyDescent="0.35">
      <c r="A33" s="2">
        <v>31</v>
      </c>
      <c r="B33" s="26"/>
      <c r="C33" s="26"/>
      <c r="D33" s="26"/>
      <c r="E33" s="26"/>
      <c r="F33" s="34"/>
      <c r="G33" s="36"/>
      <c r="H33" s="36"/>
      <c r="I33" s="36"/>
      <c r="J33" s="2"/>
      <c r="K33" s="2"/>
      <c r="L33" s="10"/>
      <c r="M33" s="27"/>
      <c r="N33" s="30"/>
      <c r="O33" s="28"/>
      <c r="P33" s="32"/>
      <c r="Q33" s="47"/>
    </row>
    <row r="34" spans="1:17" x14ac:dyDescent="0.25">
      <c r="A34" s="2">
        <v>32</v>
      </c>
      <c r="B34" s="9"/>
      <c r="C34" s="9"/>
      <c r="D34" s="9"/>
      <c r="E34" s="9"/>
      <c r="F34" s="34"/>
      <c r="G34" s="36"/>
      <c r="H34" s="36"/>
      <c r="I34" s="36"/>
      <c r="J34" s="2"/>
      <c r="K34" s="2"/>
      <c r="L34" s="4"/>
      <c r="M34" s="27"/>
      <c r="N34" s="30"/>
      <c r="O34" s="28"/>
      <c r="P34" s="32"/>
      <c r="Q34" s="47"/>
    </row>
  </sheetData>
  <dataConsolidate link="1"/>
  <phoneticPr fontId="1" type="noConversion"/>
  <conditionalFormatting sqref="G1:G1048576">
    <cfRule type="containsText" dxfId="4" priority="1" operator="containsText" text="Retest">
      <formula>NOT(ISERROR(SEARCH("Retest",G1)))</formula>
    </cfRule>
    <cfRule type="cellIs" dxfId="3" priority="2" stopIfTrue="1" operator="equal">
      <formula>"Clarify"</formula>
    </cfRule>
    <cfRule type="cellIs" dxfId="2" priority="3" stopIfTrue="1" operator="equal">
      <formula>"Closed"</formula>
    </cfRule>
    <cfRule type="cellIs" dxfId="1" priority="4" stopIfTrue="1" operator="equal">
      <formula>"Open"</formula>
    </cfRule>
  </conditionalFormatting>
  <conditionalFormatting sqref="Q1:Q1048576">
    <cfRule type="cellIs" dxfId="0" priority="5" stopIfTrue="1" operator="equal">
      <formula>"Done"</formula>
    </cfRule>
  </conditionalFormatting>
  <dataValidations count="8">
    <dataValidation type="list" allowBlank="1" showInputMessage="1" showErrorMessage="1" sqref="J3:J34 K17:K34" xr:uid="{00000000-0002-0000-0100-000000000000}">
      <formula1>"None,Low,Medium,High"</formula1>
    </dataValidation>
    <dataValidation allowBlank="1" sqref="L1:L2" xr:uid="{00000000-0002-0000-0100-000001000000}"/>
    <dataValidation allowBlank="1" showInputMessage="1" sqref="L4" xr:uid="{00000000-0002-0000-0100-000002000000}"/>
    <dataValidation type="list" allowBlank="1" showInputMessage="1" showErrorMessage="1" sqref="I3:I34" xr:uid="{00000000-0002-0000-0100-000003000000}">
      <formula1>"Bug,New Request"</formula1>
    </dataValidation>
    <dataValidation type="list" allowBlank="1" showInputMessage="1" showErrorMessage="1" sqref="F18:F19 F3:F16" xr:uid="{20651144-1FAE-48C8-9AF6-D66B663A6C64}">
      <formula1>"Functional,UI,Performance"</formula1>
    </dataValidation>
    <dataValidation type="list" allowBlank="1" showInputMessage="1" showErrorMessage="1" sqref="K3:K16" xr:uid="{0EB619ED-2B28-4437-9A26-1B4292FAF1C7}">
      <formula1>"S1-Critical,S2-Major,S3-Moderate,S4-Low"</formula1>
    </dataValidation>
    <dataValidation type="decimal" operator="greaterThanOrEqual" allowBlank="1" showInputMessage="1" showErrorMessage="1" sqref="H3:H65553" xr:uid="{00000000-0002-0000-0100-000004000000}">
      <formula1>0</formula1>
    </dataValidation>
    <dataValidation type="list" allowBlank="1" showInputMessage="1" showErrorMessage="1" sqref="G1:G1048576" xr:uid="{00000000-0002-0000-0100-000005000000}">
      <formula1>"Open,Closed,Clarify,Takeout,Retest"</formula1>
    </dataValidation>
  </dataValidations>
  <printOptions horizontalCentered="1"/>
  <pageMargins left="0.19685039370078741" right="0.19685039370078741" top="0.59055118110236227" bottom="0.59055118110236227" header="0.19685039370078741" footer="0.19685039370078741"/>
  <pageSetup paperSize="9" scale="79" fitToHeight="2" orientation="landscape" horizontalDpi="1200" verticalDpi="12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651E30-16F4-4FC4-A546-8DD254164F34}">
          <x14:formula1>
            <xm:f>Cover!$A$36:$A$39</xm:f>
          </x14:formula1>
          <xm:sqref>O3:O34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H6" sqref="H6"/>
    </sheetView>
  </sheetViews>
  <sheetFormatPr defaultRowHeight="12.5" x14ac:dyDescent="0.25"/>
  <cols>
    <col min="1" max="1" width="17.81640625" customWidth="1"/>
    <col min="2" max="2" width="14" customWidth="1"/>
    <col min="3" max="3" width="61.26953125" customWidth="1"/>
  </cols>
  <sheetData>
    <row r="1" spans="1:3" ht="34.5" customHeight="1" x14ac:dyDescent="0.25">
      <c r="A1" s="122" t="s">
        <v>76</v>
      </c>
      <c r="B1" s="122" t="s">
        <v>74</v>
      </c>
      <c r="C1" s="122" t="s">
        <v>75</v>
      </c>
    </row>
    <row r="2" spans="1:3" ht="55.5" customHeight="1" x14ac:dyDescent="0.25">
      <c r="A2" s="121"/>
      <c r="B2" s="121"/>
      <c r="C2" s="121"/>
    </row>
    <row r="3" spans="1:3" ht="60.75" customHeight="1" x14ac:dyDescent="0.25">
      <c r="A3" s="121"/>
      <c r="B3" s="121"/>
      <c r="C3" s="121"/>
    </row>
    <row r="4" spans="1:3" ht="57" customHeight="1" x14ac:dyDescent="0.25">
      <c r="A4" s="121"/>
      <c r="B4" s="121"/>
      <c r="C4" s="121"/>
    </row>
    <row r="5" spans="1:3" ht="54.75" customHeight="1" x14ac:dyDescent="0.25">
      <c r="A5" s="121"/>
      <c r="B5" s="121"/>
      <c r="C5" s="121"/>
    </row>
    <row r="6" spans="1:3" ht="50.25" customHeight="1" x14ac:dyDescent="0.25">
      <c r="A6" s="121"/>
      <c r="B6" s="121"/>
      <c r="C6" s="121"/>
    </row>
    <row r="7" spans="1:3" ht="44.25" customHeight="1" x14ac:dyDescent="0.25">
      <c r="A7" s="121"/>
      <c r="B7" s="121"/>
      <c r="C7" s="121"/>
    </row>
    <row r="8" spans="1:3" ht="34.5" customHeight="1" x14ac:dyDescent="0.25">
      <c r="A8" s="121"/>
      <c r="B8" s="121"/>
      <c r="C8" s="1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72FD15DBDFED4CB905D7D658DE4077" ma:contentTypeVersion="16" ma:contentTypeDescription="Create a new document." ma:contentTypeScope="" ma:versionID="734c812ef8012d051afa5cbcbf9539a1">
  <xsd:schema xmlns:xsd="http://www.w3.org/2001/XMLSchema" xmlns:xs="http://www.w3.org/2001/XMLSchema" xmlns:p="http://schemas.microsoft.com/office/2006/metadata/properties" xmlns:ns2="cb8654fb-bca6-45eb-b92a-c4cfa97c626b" xmlns:ns3="81287219-c632-470f-b379-2276666811c8" targetNamespace="http://schemas.microsoft.com/office/2006/metadata/properties" ma:root="true" ma:fieldsID="9ce5dbb33cbe6734f16c50117d5fcd1c" ns2:_="" ns3:_="">
    <xsd:import namespace="cb8654fb-bca6-45eb-b92a-c4cfa97c626b"/>
    <xsd:import namespace="81287219-c632-470f-b379-2276666811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654fb-bca6-45eb-b92a-c4cfa97c6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61e822-32a7-462b-9733-306de9230e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7219-c632-470f-b379-2276666811c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67d3a6c-b0e2-4643-86ab-0fba56d3afb5}" ma:internalName="TaxCatchAll" ma:showField="CatchAllData" ma:web="81287219-c632-470f-b379-2276666811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D31A16-4C32-40CE-BE85-7AF7250F0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8654fb-bca6-45eb-b92a-c4cfa97c626b"/>
    <ds:schemaRef ds:uri="81287219-c632-470f-b379-2276666811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B34320-008A-44F8-A636-DB26F4D15C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Issue LOG</vt:lpstr>
      <vt:lpstr>LOG  Print Screen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Clarifications Spreadsheet</dc:title>
  <dc:subject/>
  <dc:creator>Hendri Heriyanto</dc:creator>
  <cp:keywords/>
  <dc:description/>
  <cp:lastModifiedBy>Rizky Mahardika Hariyanto</cp:lastModifiedBy>
  <cp:revision/>
  <cp:lastPrinted>2022-09-13T09:10:00Z</cp:lastPrinted>
  <dcterms:created xsi:type="dcterms:W3CDTF">2007-09-25T05:59:16Z</dcterms:created>
  <dcterms:modified xsi:type="dcterms:W3CDTF">2026-09-28T15:12:47Z</dcterms:modified>
  <cp:category/>
  <cp:contentStatus/>
</cp:coreProperties>
</file>